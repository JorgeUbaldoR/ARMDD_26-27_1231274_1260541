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blemas" sheetId="1" state="visible" r:id="rId3"/>
    <sheet name="Resumo" sheetId="2" state="visible" r:id="rId4"/>
    <sheet name="Guia" sheetId="3" state="visible" r:id="rId5"/>
    <sheet name="Notas" sheetId="4" state="visible" r:id="rId6"/>
    <sheet name="Listas" sheetId="5" state="visible" r:id="rId7"/>
  </sheets>
  <definedNames>
    <definedName function="false" hidden="false" localSheetId="0" name="_xlnm.Print_Titles" vbProcedure="false">Problemas!$4:$4</definedName>
    <definedName function="false" hidden="true" localSheetId="0" name="_xlnm._FilterDatabase" vbProcedure="false">Problemas!$A$4:$M$154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<sst xmlns="http://schemas.openxmlformats.org/spreadsheetml/2006/main" count="649" uniqueCount="327">
  <si>
    <t xml:space="preserve">Data Profiling — Problemas de Qualidade dos Dados (MoreRhythm)</t>
  </si>
  <si>
    <t xml:space="preserve">ARMDD 2026/27 · Grupo 1231274 / 1260541 · Fonte: Data Profiling Task (SSIS) + consultas SQL · Preencher uma linha por problema (colunas B a M). Ver folhas Guia e Notas.</t>
  </si>
  <si>
    <t xml:space="preserve">ID</t>
  </si>
  <si>
    <t xml:space="preserve">Tabela</t>
  </si>
  <si>
    <t xml:space="preserve">Coluna</t>
  </si>
  <si>
    <t xml:space="preserve">Perfil / origem</t>
  </si>
  <si>
    <t xml:space="preserve">Problema detetado</t>
  </si>
  <si>
    <t xml:space="preserve">Exemplo (valor / registo)</t>
  </si>
  <si>
    <t xml:space="preserve">Nº registos afetados</t>
  </si>
  <si>
    <t xml:space="preserve">Tipo de problema</t>
  </si>
  <si>
    <t xml:space="preserve">Gravidade</t>
  </si>
  <si>
    <t xml:space="preserve">Correção automatizável?</t>
  </si>
  <si>
    <t xml:space="preserve">Ação de limpeza / transformação proposta</t>
  </si>
  <si>
    <t xml:space="preserve">Destino do registo</t>
  </si>
  <si>
    <t xml:space="preserve">Observações</t>
  </si>
  <si>
    <t xml:space="preserve">customers</t>
  </si>
  <si>
    <t xml:space="preserve">name / taxpayer_number / BBAN / email / phone / contact / address</t>
  </si>
  <si>
    <t xml:space="preserve">Column Value Distribution + Candidate Key</t>
  </si>
  <si>
    <t xml:space="preserve">Cliente registado em duplicado com identificadores diferentes (cópia exata de todos os atributos)</t>
  </si>
  <si>
    <t xml:space="preserve">Clientes 10 e 18 – "Eira e Beira, lda", NIF 502323434</t>
  </si>
  <si>
    <t xml:space="preserve">Duplicado exato</t>
  </si>
  <si>
    <t xml:space="preserve">Alta</t>
  </si>
  <si>
    <t xml:space="preserve">Sim</t>
  </si>
  <si>
    <t xml:space="preserve">Agrupar os registos duplicados, manter um registo sobrevivente e guardar na Staging Area o mapeamento ID eliminado → ID sobrevivente</t>
  </si>
  <si>
    <t xml:space="preserve">Corrigir no ETL</t>
  </si>
  <si>
    <t xml:space="preserve">Confirmado pelo Candidate Key (name e taxpayer_number com 96,15% de unicidade). A fatura do cliente 18 tem de ser associada ao cliente sobrevivente.</t>
  </si>
  <si>
    <t xml:space="preserve">name / taxpayer_number / address / BBAN</t>
  </si>
  <si>
    <t xml:space="preserve">Column Value Distribution</t>
  </si>
  <si>
    <t xml:space="preserve">Cliente duplicado com dados aproximadamente iguais: nome escrito de forma diferente, NIF com dígitos trocados e morada abreviada; BBAN e código postal iguais</t>
  </si>
  <si>
    <t xml:space="preserve">Clientes 8 e 22 – "Luz e Som, lda" vs "Luz e Som Lda."; NIF 365564344 vs 365564434</t>
  </si>
  <si>
    <t xml:space="preserve">Duplicado aproximado</t>
  </si>
  <si>
    <t xml:space="preserve">Fuzzy Grouping (SSIS) sobre nome, morada, código postal, telefone e NIF; manter o sobrevivente, completar atributos em falta com o outro registo e guardar o mapeamento de IDs</t>
  </si>
  <si>
    <t xml:space="preserve">O cliente 22 tem telefone e o 8 tem email: ao fundir, aproveitar a informação dos dois. 1 fatura associada ao cliente 22.</t>
  </si>
  <si>
    <t xml:space="preserve">name / taxpayer_number / address / clity / email</t>
  </si>
  <si>
    <t xml:space="preserve">Cliente duplicado com dados aproximadamente iguais: nome abreviado, NIF com dígitos trocados, morada com pontuação diferente, localidade mal escrita; telefone e código postal iguais</t>
  </si>
  <si>
    <t xml:space="preserve">Clientes 5 e 26 – "Coro Nossa Senhora Assunção" vs "Coro N. Senhora Assunção"; NIF 300455644 vs 300456544</t>
  </si>
  <si>
    <t xml:space="preserve">Fuzzy Grouping (SSIS) sobre nome, morada, código postal, telefone e NIF; manter o sobrevivente, completar atributos em falta e guardar o mapeamento de IDs</t>
  </si>
  <si>
    <t xml:space="preserve">Não detetável pelo BBAN (cliente 26 sem BBAN). O 26 foi criado primeiro (31/01/2025) e tem email válido e telemóvel; o 5 tem BBAN. 2 faturas associadas ao cliente 26.</t>
  </si>
  <si>
    <t xml:space="preserve">zone</t>
  </si>
  <si>
    <t xml:space="preserve">Column Null Ratio</t>
  </si>
  <si>
    <t xml:space="preserve">Zona em falta (NULL): impede as análises por zona do cliente (1, 6, 9 e 10)</t>
  </si>
  <si>
    <t xml:space="preserve">Clientes 2 ("Vendas a Dinheiro") e 20 ("MaisRitmo (interno)")</t>
  </si>
  <si>
    <t xml:space="preserve">Valor em falta</t>
  </si>
  <si>
    <t xml:space="preserve">Média</t>
  </si>
  <si>
    <t xml:space="preserve">Associar ao membro "Desconhecido" da dimensão (zona N/D)</t>
  </si>
  <si>
    <t xml:space="preserve">Clientes especiais (genérico e interno). Todos os restantes códigos de zona existem na tabela zones.</t>
  </si>
  <si>
    <t xml:space="preserve">zip_code / clity</t>
  </si>
  <si>
    <t xml:space="preserve">A cidade está embutida no zip_code (código postal + cidade no mesmo campo) e a coluna clity contém o bairro/localidade e não a cidade</t>
  </si>
  <si>
    <t xml:space="preserve">"2600-011 VILA FRANCA DE XIRA" com clity "A-dos-Bispos" (cliente 1)</t>
  </si>
  <si>
    <t xml:space="preserve">Inconsistência entre atributos</t>
  </si>
  <si>
    <t xml:space="preserve">Separar o zip_code em CódigoPostal e Cidade (texto após o código postal); manter clity como Localidade</t>
  </si>
  <si>
    <t xml:space="preserve">Afeta as análises 2 e 8 (cidade do cliente). Usar a clity como cidade daria resultados errados.</t>
  </si>
  <si>
    <t xml:space="preserve">zip_code</t>
  </si>
  <si>
    <t xml:space="preserve">Código postal em falta (string vazia/espaço): não é possível obter a cidade</t>
  </si>
  <si>
    <t xml:space="preserve">Clientes 2 e 20</t>
  </si>
  <si>
    <t xml:space="preserve">Baixa</t>
  </si>
  <si>
    <t xml:space="preserve">TRIM + converter vazio em NULL: NULLIF(LTRIM(RTRIM(zip_code)), ''); cidade = "Desconhecido"</t>
  </si>
  <si>
    <t xml:space="preserve">Clientes especiais (genérico e interno).</t>
  </si>
  <si>
    <t xml:space="preserve">Column Value Distribution + Column Pattern</t>
  </si>
  <si>
    <t xml:space="preserve">Código postal em formato estrangeiro: não segue o padrão \d{4}-\d{3} CIDADE (96% dos registos)</t>
  </si>
  <si>
    <t xml:space="preserve">"28108 Alcobendas - Madrid, España" (cliente 21)</t>
  </si>
  <si>
    <t xml:space="preserve">Formato inválido</t>
  </si>
  <si>
    <t xml:space="preserve">Regra de extração por país (zona 5 = Espanha): código de 5 dígitos e cidade antes de " - "; país derivado da zona</t>
  </si>
  <si>
    <t xml:space="preserve">Com a expansão para a UE e Reino Unido, a regra tem de suportar formatos de outros países.</t>
  </si>
  <si>
    <t xml:space="preserve">clity</t>
  </si>
  <si>
    <t xml:space="preserve">Grafia inconsistente da mesma localidade (sem acento e sem "do")</t>
  </si>
  <si>
    <t xml:space="preserve">"Bairro Alem Rio" (cliente 26) vs "Bairro Além do Rio" (clientes 5 e 15)</t>
  </si>
  <si>
    <t xml:space="preserve">Grafia inconsistente</t>
  </si>
  <si>
    <t xml:space="preserve">Tabela de mapeamento de valores ou Fuzzy Lookup para normalizar a grafia</t>
  </si>
  <si>
    <t xml:space="preserve">O registo 26 é duplicado do 5; com a deduplicação o valor errado pode desaparecer.</t>
  </si>
  <si>
    <t xml:space="preserve">Localidade em falta (string vazia/espaço)</t>
  </si>
  <si>
    <t xml:space="preserve">Clientes 2, 20 e 21</t>
  </si>
  <si>
    <t xml:space="preserve">TRIM + converter vazio em NULL: NULLIF(LTRIM(RTRIM(clity)), '')</t>
  </si>
  <si>
    <t xml:space="preserve">address</t>
  </si>
  <si>
    <t xml:space="preserve">Morada em falta (string vazia/espaço)</t>
  </si>
  <si>
    <t xml:space="preserve">TRIM + converter vazio em NULL: NULLIF(LTRIM(RTRIM(address)), '')</t>
  </si>
  <si>
    <t xml:space="preserve">taxpayer_number</t>
  </si>
  <si>
    <t xml:space="preserve">Column Value Distribution + Column Length Distribution</t>
  </si>
  <si>
    <t xml:space="preserve">NIF vazio ou com valor de enchimento, fora do domínio (o NIF português tem 9 dígitos)</t>
  </si>
  <si>
    <t xml:space="preserve">"000000000" (cliente 2), vazio (20), "0" (24), "00" (25)</t>
  </si>
  <si>
    <t xml:space="preserve">Violação de domínio</t>
  </si>
  <si>
    <t xml:space="preserve">Se o NIF não tiver 9 dígitos ou for só zeros → NULL (ou "N/D")</t>
  </si>
  <si>
    <t xml:space="preserve">O comprimento sozinho não chega: "000000000" tem 9 dígitos. Melhoria possível: validar o dígito de controlo (módulo 11). São clientes especiais (genérico e internos).</t>
  </si>
  <si>
    <t xml:space="preserve">BBAN</t>
  </si>
  <si>
    <t xml:space="preserve">BBAN em falta (string vazia/espaço, não NULL)</t>
  </si>
  <si>
    <t xml:space="preserve">Clientes 2, 17, 19, 20, 23, 24, 25 e 26</t>
  </si>
  <si>
    <t xml:space="preserve">TRIM + converter vazio em NULL: NULLIF(LTRIM(RTRIM(BBAN)), '')</t>
  </si>
  <si>
    <t xml:space="preserve">O Length Distribution confirma: só existem comprimentos 0 e 21. Nenhuma análise usa o BBAN.</t>
  </si>
  <si>
    <t xml:space="preserve">email</t>
  </si>
  <si>
    <t xml:space="preserve">Column Pattern</t>
  </si>
  <si>
    <t xml:space="preserve">Email sem "@" (formato inválido)</t>
  </si>
  <si>
    <t xml:space="preserve">"coro.sapo.pt" (cliente 5)</t>
  </si>
  <si>
    <t xml:space="preserve">Não</t>
  </si>
  <si>
    <t xml:space="preserve">Validar o formato do email no ETL; se for inválido → NULL</t>
  </si>
  <si>
    <t xml:space="preserve">O mesmo cliente tem um registo duplicado (cliente 26) com o email correto "coro@sapo.pt"; com a deduplicação pode ficar o email válido.</t>
  </si>
  <si>
    <t xml:space="preserve">Email em falta (string vazia/espaço)</t>
  </si>
  <si>
    <t xml:space="preserve">Clientes 2, 7, 9, 12, 13, 14, 17, 20, 21, 22, 24 e 25</t>
  </si>
  <si>
    <t xml:space="preserve">TRIM + converter vazio em NULL: NULLIF(LTRIM(RTRIM(email)), '')</t>
  </si>
  <si>
    <t xml:space="preserve">phone / mobile</t>
  </si>
  <si>
    <t xml:space="preserve">Formato de telefone inconsistente: com e sem espaços e com indicativo internacional</t>
  </si>
  <si>
    <t xml:space="preserve">"245 475 457", "213 83 34 18", "+34 914 902 444" (phone); "911 234 432" (mobile)</t>
  </si>
  <si>
    <t xml:space="preserve">Remover espaços e normalizar o indicativo internacional (ex.: +34 em campo próprio ou prefixo padronizado)</t>
  </si>
  <si>
    <t xml:space="preserve">phone: clientes 10, 16, 17, 18, 19, 21, 22, 23 · mobile: cliente 19.</t>
  </si>
  <si>
    <t xml:space="preserve">phone</t>
  </si>
  <si>
    <t xml:space="preserve">Telefone em falta (string vazia/espaço)</t>
  </si>
  <si>
    <t xml:space="preserve">Clientes 2, 7, 8, 9, 15, 20, 24 e 25</t>
  </si>
  <si>
    <t xml:space="preserve">TRIM + converter vazio em NULL: NULLIF(LTRIM(RTRIM(phone)), '')</t>
  </si>
  <si>
    <t xml:space="preserve">mobile</t>
  </si>
  <si>
    <t xml:space="preserve">Telemóvel em falta (string vazia/espaço)</t>
  </si>
  <si>
    <t xml:space="preserve">21 dos 26 clientes (só 1, 3, 6, 19 e 26 têm valor)</t>
  </si>
  <si>
    <t xml:space="preserve">TRIM + converter vazio em NULL: NULLIF(LTRIM(RTRIM(mobile)), '')</t>
  </si>
  <si>
    <t xml:space="preserve">contact</t>
  </si>
  <si>
    <t xml:space="preserve">Pessoa de contacto em falta (string vazia/espaço)</t>
  </si>
  <si>
    <t xml:space="preserve">Clientes 2, 9, 11, 12, 13, 19, 20, 21, 23, 24, 25 e 26</t>
  </si>
  <si>
    <t xml:space="preserve">TRIM + converter vazio em NULL: NULLIF(LTRIM(RTRIM(contact)), '')</t>
  </si>
  <si>
    <t xml:space="preserve">seller</t>
  </si>
  <si>
    <t xml:space="preserve">Column Value Distribution + Consulta SQL</t>
  </si>
  <si>
    <t xml:space="preserve">Código de vendedor sem integridade referencial: não existe FK para employees; o valor 0 não corresponde a nenhum funcionário e os valores 1 e 2 apontam para funcionários que não são vendedores</t>
  </si>
  <si>
    <t xml:space="preserve">seller = 0 nos clientes 2, 20, 24 e 25</t>
  </si>
  <si>
    <t xml:space="preserve">Integridade referencial</t>
  </si>
  <si>
    <t xml:space="preserve">Não usar como ligação à dimensão de funcionários; manter só como atributo descritivo ou excluir do data mart</t>
  </si>
  <si>
    <t xml:space="preserve">Manter / sem ação</t>
  </si>
  <si>
    <t xml:space="preserve">O funcionário da venda vem de invoices.employee (com FK declarada), que é o usado nas análises 3 e 4.</t>
  </si>
  <si>
    <t xml:space="preserve">type</t>
  </si>
  <si>
    <t xml:space="preserve">Clientes que não são clientes reais de vendas: entidades internas e cliente genérico de vendas a dinheiro</t>
  </si>
  <si>
    <t xml:space="preserve">"Interno": clientes 20, 24 e 25; "Vendas a Dinheiro" (cliente 2) classificado como "Cliente Final"</t>
  </si>
  <si>
    <t xml:space="preserve">Regra de negócio</t>
  </si>
  <si>
    <t xml:space="preserve">Decidir no modelo dimensional se as vendas a clientes internos entram nas análises (ex.: flag ClienteInterno na DimCustomer)</t>
  </si>
  <si>
    <t xml:space="preserve">Os 4 valores de type estão escritos de forma consistente. As contagens por tipo estão inflacionadas pelos duplicados.</t>
  </si>
  <si>
    <t xml:space="preserve">invoices_lines</t>
  </si>
  <si>
    <t xml:space="preserve">quantity</t>
  </si>
  <si>
    <t xml:space="preserve">Column Statistics + Consulta SQL</t>
  </si>
  <si>
    <t xml:space="preserve">Quantidade negativa numa venda (erro de sinal): line_total e line_vat são positivos e coerentes com os totais da fatura</t>
  </si>
  <si>
    <t xml:space="preserve">V002 com quantity = -2 (fatura ADM06013159093,354502931); G001 com quantity = -1 (fatura ADM06022868091,750385884)</t>
  </si>
  <si>
    <t xml:space="preserve">Se |quantity| × |unit_price| = line_total e o IVA for coerente → corrigir com ABS(quantity); caso contrário → tabela de erros</t>
  </si>
  <si>
    <t xml:space="preserve">Não são devoluções: as faturas têm totais positivos que já contam estas linhas com sinal positivo. Detetado também pela consulta a) (sinal de quantity × unit_price diferente do de line_total).</t>
  </si>
  <si>
    <t xml:space="preserve">unit_price</t>
  </si>
  <si>
    <t xml:space="preserve">Preço unitário negativo numa venda (erro de sinal): line_total e line_vat são positivos</t>
  </si>
  <si>
    <t xml:space="preserve">ECPOCKI com unit_price = -140 (fatura ADM06013159092,572514309); P001 com unit_price = -13 (fatura ADM06033159385,916951128)</t>
  </si>
  <si>
    <t xml:space="preserve">Se |quantity| × |unit_price| = line_total e o IVA for coerente → corrigir com ABS(unit_price); caso contrário → tabela de erros</t>
  </si>
  <si>
    <t xml:space="preserve">Na fatura ADM06013159092,572514309 o products_total (145) não coincide com a linha (140), embora o IVA da fatura (32,20) seja o da linha: o problema está no total da fatura (ver análise da invoices).</t>
  </si>
  <si>
    <t xml:space="preserve">Consulta SQL</t>
  </si>
  <si>
    <t xml:space="preserve">Preço de venda diferente do preço atual do produto (products.current_sell_price ÷ 10^6)</t>
  </si>
  <si>
    <t xml:space="preserve">9 linhas abaixo do preço atual (−1,6% a −5,45%, ex.: G002 a 1111 vs 1175); 1 acima (B004 a 76 vs 71, +7,04%)</t>
  </si>
  <si>
    <t xml:space="preserve">Usar sempre o unit_price da linha como preço de venda; não derivar preços da tabela products (preço atual, não histórico, e guardado ×10^6)</t>
  </si>
  <si>
    <t xml:space="preserve">As diferenças para baixo são compatíveis com descontos ou alterações de preço posteriores à venda. O caso B004 (+7%) coincide com a fatura ADM06022859337,463265852, cujo products_total (234) não bate com a soma das linhas (239): verificar na análise da invoices.</t>
  </si>
  <si>
    <t xml:space="preserve">last_update_time</t>
  </si>
  <si>
    <t xml:space="preserve">A hora da última alteração é sempre igual à hora de criação, mesmo quando a data da última alteração muda</t>
  </si>
  <si>
    <t xml:space="preserve">93 de 93 linhas com last_update_time = create_time; em 90 a last_update_date é diferente da create_date</t>
  </si>
  <si>
    <t xml:space="preserve">Na carga incremental, detetar alterações pela last_update_date (com margem de segurança e comparação por chave), não apenas por data + hora</t>
  </si>
  <si>
    <t xml:space="preserve">A last_update_date das linhas é sempre igual à da fatura respetiva: a alteração é propagada da fatura para as linhas.</t>
  </si>
  <si>
    <t xml:space="preserve">create_date</t>
  </si>
  <si>
    <t xml:space="preserve">Data de criação das linhas diferente da data da fatura</t>
  </si>
  <si>
    <t xml:space="preserve">3 linhas da fatura ADM06022859336,963953449: criadas a 28/02/2025, invoice_date = 31/03/2025</t>
  </si>
  <si>
    <t xml:space="preserve">A data do facto deve vir de invoices.invoice_date e não das datas de auditoria das linhas</t>
  </si>
  <si>
    <t xml:space="preserve">O problema está ao nível da fatura (create_date ≠ invoice_date): ver análise da invoices.</t>
  </si>
  <si>
    <t xml:space="preserve">invoice_line_stamp_id / invoice_stamp_id / product</t>
  </si>
  <si>
    <t xml:space="preserve">Column Length Distribution + Column Value Distribution</t>
  </si>
  <si>
    <t xml:space="preserve">Identificadores char com espaços à direita (comprimento real inferior ao definido)</t>
  </si>
  <si>
    <t xml:space="preserve">Stamp ids com 23–24 caracteres úteis em char(25); product com espaços até 18 (ex.: "G001              ")</t>
  </si>
  <si>
    <t xml:space="preserve">Aplicar RTRIM/TRIM a todos os identificadores antes de Lookups e junções no SSIS</t>
  </si>
  <si>
    <t xml:space="preserve">Os Lookups do SSIS comparam os valores exatamente: sem TRIM, "G001" e "G001   " não coincidem.</t>
  </si>
  <si>
    <t xml:space="preserve">invoice_line_stamp_id / invoice_stamp_id</t>
  </si>
  <si>
    <t xml:space="preserve">Identificador com formato diferente dos restantes (prefixo "cq" em minúsculas em vez de "ADM")</t>
  </si>
  <si>
    <t xml:space="preserve">Linha "cq08012457265,5800000-4" da fatura "cq08012457245,914597944"</t>
  </si>
  <si>
    <t xml:space="preserve">Manter (é um identificador válido e único); registar a anomalia</t>
  </si>
  <si>
    <t xml:space="preserve">O prefixo "cq" é o usado nos documentos de compras (purchases). É também a única fatura emitida fora do último dia do mês (01/05/2025, feriado). Confirmar a origem do documento.</t>
  </si>
  <si>
    <t xml:space="preserve">invoices</t>
  </si>
  <si>
    <t xml:space="preserve">products_total</t>
  </si>
  <si>
    <t xml:space="preserve">Total dos produtos da fatura diferente da soma das linhas; o IVA da fatura bate com as linhas, mas portes, total para IVA e total final foram calculados sobre o products_total errado</t>
  </si>
  <si>
    <t xml:space="preserve">ADM06013159092,572514309: 145 vs 140 nas linhas · ADM06022859337,463265852: 234 vs 239 nas linhas</t>
  </si>
  <si>
    <t xml:space="preserve">Enviar a fatura e as respetivas linhas para a tabela de erros: corrigir implicaria recalcular portes e total final (valor efetivamente faturado), sem certeza de qual é o valor correto</t>
  </si>
  <si>
    <t xml:space="preserve">Tabela de erros (SA)</t>
  </si>
  <si>
    <t xml:space="preserve">As linhas estão internamente coerentes (qtd × preço e IVA 23%) e o vat_value da fatura coincide com elas. Em 572514309 a linha tem também o erro de sinal (−140); em 463265852 a linha B004 está 7% acima do preço do produto.</t>
  </si>
  <si>
    <t xml:space="preserve">shipping_cost</t>
  </si>
  <si>
    <t xml:space="preserve">Custo de expedição diferente da regra observada (2,5% do products_total) e incoerente com total_for_vat (total_for_vat ≠ products_total + shipping_cost)</t>
  </si>
  <si>
    <t xml:space="preserve">ADM06022868165,094314602: 27,70 (esperado 25,20) · ADM06043059438,135478354: 26,275 (esperado 21,275)</t>
  </si>
  <si>
    <t xml:space="preserve">Recalcular shipping_cost = total_for_vat − products_total (os campos total_for_vat e final_total são coerentes entre si e com a regra de 2,5%)</t>
  </si>
  <si>
    <t xml:space="preserve">Diferenças de exatamente +2,50 e +5,00. Os portes são a medida das análises 2 e 9 e vão ser repartidos pelas linhas. A regra dos 2,5% verifica-se nas outras 35 faturas.</t>
  </si>
  <si>
    <t xml:space="preserve">invoice_date / create_date</t>
  </si>
  <si>
    <t xml:space="preserve">Data da fatura posterior à data de criação do registo (fatura e linhas criadas a 28/02 com invoice_date 31/03)</t>
  </si>
  <si>
    <t xml:space="preserve">ADM06022859336,963953449 (cliente 15)</t>
  </si>
  <si>
    <t xml:space="preserve">Usar invoice_date como data do facto (data de negócio); registar a anomalia</t>
  </si>
  <si>
    <t xml:space="preserve">A diferença muda o mês da venda (fevereiro vs março), o que afeta as análises por mês, trimestre e quadrimestre.</t>
  </si>
  <si>
    <t xml:space="preserve">customer</t>
  </si>
  <si>
    <t xml:space="preserve">Faturas associadas a clientes duplicados (registos que vão ser eliminados na deduplicação)</t>
  </si>
  <si>
    <t xml:space="preserve">Cliente 26: 2 faturas · cliente 18: 1 fatura · cliente 22: 1 fatura</t>
  </si>
  <si>
    <t xml:space="preserve">Na carga dos factos, substituir o cliente pelo cliente sobrevivente através da tabela de mapeamento de duplicados da Staging Area</t>
  </si>
  <si>
    <t xml:space="preserve">Ligado aos 3 pares de duplicados da tabela customers.</t>
  </si>
  <si>
    <t xml:space="preserve">currency</t>
  </si>
  <si>
    <t xml:space="preserve">Código de moeda fora do padrão ISO 4217 ("EURO" em vez de "EUR")</t>
  </si>
  <si>
    <t xml:space="preserve">"EURO" nas 37 faturas</t>
  </si>
  <si>
    <t xml:space="preserve">Mapear para o código ISO ("EURO" → "EUR") e ligar a uma dimensão de moedas com taxas de conversão para euro</t>
  </si>
  <si>
    <t xml:space="preserve">Na amostra há só uma moeda, mas o data mart tem de suportar outras (expansão UE e Reino Unido, GBP) com conversão para euro.</t>
  </si>
  <si>
    <t xml:space="preserve">last_update_date / last_update_time</t>
  </si>
  <si>
    <t xml:space="preserve">A data da última alteração é sempre a data de pagamento e a hora da última alteração não é atualizada na maioria dos casos (igual à hora de criação)</t>
  </si>
  <si>
    <t xml:space="preserve">last_update_date = payment_date nas 37 faturas; last_update_time = create_time em 31 de 37</t>
  </si>
  <si>
    <t xml:space="preserve">Na carga incremental, detetar alterações pela last_update_date (com margem de segurança e comparação por chave)</t>
  </si>
  <si>
    <t xml:space="preserve">A alteração é propagada às linhas (mesma last_update_date). Mesmo comportamento observado em invoices_lines.</t>
  </si>
  <si>
    <t xml:space="preserve">shipping_cost / total_for_vat / final_total</t>
  </si>
  <si>
    <t xml:space="preserve">Column Statistics</t>
  </si>
  <si>
    <t xml:space="preserve">Valores monetários com mais de 2 casas decimais</t>
  </si>
  <si>
    <t xml:space="preserve">shipping_cost = 3,625; final_total = 180,825 (fatura ADM06013159092,572514309)</t>
  </si>
  <si>
    <t xml:space="preserve">Manter a precisão original no data mart (numeric(19,6)) e arredondar apenas na apresentação, para que somas e repartições não percam exatidão</t>
  </si>
  <si>
    <t xml:space="preserve">Os portes de 2,5% geram meios cêntimos. 18 faturas com final_total com 3 casas decimais.</t>
  </si>
  <si>
    <t xml:space="preserve">invoice_stamp_id</t>
  </si>
  <si>
    <t xml:space="preserve">Column Length Distribution + Column Pattern</t>
  </si>
  <si>
    <t xml:space="preserve">Identificador char com espaços à direita e uma fatura com prefixo diferente ("cq" em vez de "ADM")</t>
  </si>
  <si>
    <t xml:space="preserve">"cq08012457245,914597944" (cliente 16, 01/05/2025)</t>
  </si>
  <si>
    <t xml:space="preserve">Aplicar RTRIM antes de Lookups e junções; manter o identificador original como dimensão degenerada</t>
  </si>
  <si>
    <t xml:space="preserve">O prefixo "cq" é o dos documentos de compras. É a única fatura que não foi emitida no último dia do mês.</t>
  </si>
  <si>
    <t xml:space="preserve">families</t>
  </si>
  <si>
    <t xml:space="preserve">classification</t>
  </si>
  <si>
    <t xml:space="preserve">Classificação da família em falta (string vazia/espaço, não NULL)</t>
  </si>
  <si>
    <t xml:space="preserve">Aluguer, Partnum, Grav, Amp, Mon, Tcl, Timb, Comm</t>
  </si>
  <si>
    <t xml:space="preserve">TRIM + NULL; preencher com a classification dos produtos da família quando for única (ex.: Partnum → "Peças"); nos restantes casos → "Não classificado"</t>
  </si>
  <si>
    <t xml:space="preserve">A classification é o nível acima da família numa possível hierarquia de produto. Das 8, só a Partnum tem produtos (10, todos com classification "Peças").</t>
  </si>
  <si>
    <t xml:space="preserve">name</t>
  </si>
  <si>
    <t xml:space="preserve">O atributo name mistura nomes curtos com descrições longas: nas famílias de instrumentos contém uma definição e não o nome da família</t>
  </si>
  <si>
    <t xml:space="preserve">Membranofones → "Instrumento cujo elemento vibratório é uma membrana retesada" (também Cordofones, Idiofones e Aerofones) vs Amp → "Amplificadores"</t>
  </si>
  <si>
    <t xml:space="preserve">Criar o atributo NomeFamília na dimensão: usar o name quando é um nome curto e a reference quando o name é uma descrição (tabela de mapeamento); guardar a descrição num atributo próprio</t>
  </si>
  <si>
    <t xml:space="preserve">As análises pedem famílias pelo nome ("Acessórios", "Amplificadores", "Teclados"), que estão no name, mas para os instrumentos o nome legível está na reference.</t>
  </si>
  <si>
    <t xml:space="preserve">reference</t>
  </si>
  <si>
    <t xml:space="preserve">Códigos de família sem critério uniforme: abreviaturas, nomes completos, com e sem acentos</t>
  </si>
  <si>
    <t xml:space="preserve">Abreviaturas: Amp, Tcl, Mon, Grav, Timb, Comm · Completos: Membranofones, Cordofones · Com acento: Serviços, Rádios · Sem acento: Acessorios, Formacao</t>
  </si>
  <si>
    <t xml:space="preserve">Manter como chave natural (identificador) e não a usar como descrição nas análises; usar sempre o nome da família</t>
  </si>
  <si>
    <t xml:space="preserve">Chaves com acentos e sem regra fixa aumentam o risco de falhas em Lookups (collation, maiúsculas/minúsculas).</t>
  </si>
  <si>
    <t xml:space="preserve">Erro ortográfico no nome da família</t>
  </si>
  <si>
    <t xml:space="preserve">"Monotorização e Verificação" (família Mon) em vez de "Monitorização"</t>
  </si>
  <si>
    <t xml:space="preserve">Corrigir através de tabela de mapeamento de valores na transformação</t>
  </si>
  <si>
    <t xml:space="preserve">"Aparelhos Electrónicos" (Rádios) usa a grafia anterior ao Acordo Ortográfico; não é erro, mas pode ser normalizado.</t>
  </si>
  <si>
    <t xml:space="preserve">categories</t>
  </si>
  <si>
    <t xml:space="preserve">Category</t>
  </si>
  <si>
    <t xml:space="preserve">Siglas escritas em minúsculas, de forma inconsistente com a grafia habitual</t>
  </si>
  <si>
    <t xml:space="preserve">"Leitor de Cd" e "Leitor de Mp3" (em vez de "Leitor de CD" / "Leitor de MP3")</t>
  </si>
  <si>
    <t xml:space="preserve">Normalizar através de tabela de mapeamento de valores na transformação</t>
  </si>
  <si>
    <t xml:space="preserve">Problema apenas de apresentação; não afeta agrupamentos nem análises.</t>
  </si>
  <si>
    <t xml:space="preserve">Resumo dos problemas encontrados</t>
  </si>
  <si>
    <t xml:space="preserve">Calculado automaticamente a partir da folha Problemas — não editar.</t>
  </si>
  <si>
    <t xml:space="preserve">Total</t>
  </si>
  <si>
    <t xml:space="preserve">Registos afetados</t>
  </si>
  <si>
    <t xml:space="preserve">products</t>
  </si>
  <si>
    <t xml:space="preserve">suplliers</t>
  </si>
  <si>
    <t xml:space="preserve">employees</t>
  </si>
  <si>
    <t xml:space="preserve">zones</t>
  </si>
  <si>
    <t xml:space="preserve">Nº problemas</t>
  </si>
  <si>
    <t xml:space="preserve">Automatizáveis</t>
  </si>
  <si>
    <t xml:space="preserve">Para tabela de erros</t>
  </si>
  <si>
    <t xml:space="preserve">Guia de preenchimento</t>
  </si>
  <si>
    <t xml:space="preserve">O que escrever</t>
  </si>
  <si>
    <t xml:space="preserve">Exemplo</t>
  </si>
  <si>
    <t xml:space="preserve">Tabela / Coluna</t>
  </si>
  <si>
    <t xml:space="preserve">Tabela e atributo da base MoreRhythm onde está o problema (lista pendente na Tabela).</t>
  </si>
  <si>
    <t xml:space="preserve">customers / zone</t>
  </si>
  <si>
    <t xml:space="preserve">Perfil da Data Profiling Task onde o detetaram, ou "Consulta SQL" se foi por query.</t>
  </si>
  <si>
    <t xml:space="preserve">Descrição curta e objetiva do problema.</t>
  </si>
  <si>
    <t xml:space="preserve">Zona em falta</t>
  </si>
  <si>
    <t xml:space="preserve">Valor concreto ou ID do registo afetado, para evidência no relatório.</t>
  </si>
  <si>
    <t xml:space="preserve">cliente 2 'Vendas a Dinheiro'</t>
  </si>
  <si>
    <t xml:space="preserve">Quantos registos têm o problema (número inteiro).</t>
  </si>
  <si>
    <t xml:space="preserve">2</t>
  </si>
  <si>
    <t xml:space="preserve">Valor em falta · Violação de domínio · Formato inválido · Integridade referencial · Inconsistência entre atributos · Duplicado exato · Duplicado aproximado.</t>
  </si>
  <si>
    <t xml:space="preserve">Alta = afeta factos/medidas ou FKs · Média = afeta atributos de análise · Baixa = atributo descritivo pouco relevante.</t>
  </si>
  <si>
    <t xml:space="preserve">Sim se o ETL consegue corrigir sem intervenção humana (ex.: TRIM, valor por omissão, deduplicação). Não caso contrário.</t>
  </si>
  <si>
    <t xml:space="preserve">Ação proposta</t>
  </si>
  <si>
    <t xml:space="preserve">O que o ETL vai fazer: corrigir, substituir por valor "Desconhecido", agrupar duplicados, enviar para tabela de erros…</t>
  </si>
  <si>
    <t xml:space="preserve">Atribuir membro "Desconhecido" na dimensão</t>
  </si>
  <si>
    <t xml:space="preserve">Corrigir no ETL · Tabela de erros (SA) · Manter / sem ação. O enunciado exige que o que não for corrigível vá para tabelas de erros na Staging Area.</t>
  </si>
  <si>
    <t xml:space="preserve">Notas da análise (observações que não são problemas)</t>
  </si>
  <si>
    <t xml:space="preserve">Nota</t>
  </si>
  <si>
    <t xml:space="preserve">Evidência</t>
  </si>
  <si>
    <t xml:space="preserve">A coluna number (PK) não aparece no Candidate Key Profile: o perfil não suporta o tipo numeric. A unicidade foi verificada por SQL e é garantida pela PK PK_clientes_1.</t>
  </si>
  <si>
    <t xml:space="preserve">SELECT COUNT(*), COUNT(DISTINCT number) FROM customers → 26 / 26</t>
  </si>
  <si>
    <t xml:space="preserve">create_time e last_update_date aparecem com 100% de unicidade no Candidate Key apenas por coincidência (amostra pequena); não têm significado como chave.</t>
  </si>
  <si>
    <t xml:space="preserve">Candidate Key Profile</t>
  </si>
  <si>
    <t xml:space="preserve">O NIF não é suficiente como regra de deduplicação: identifica o duplicado exato, mas não os aproximados (NIF com dígitos trocados). É necessária comparação aproximada (Fuzzy Grouping) sobre vários atributos.</t>
  </si>
  <si>
    <t xml:space="preserve">Pares 8/22 e 5/26</t>
  </si>
  <si>
    <t xml:space="preserve">O segment tem só 3 valores (Alto, Médio, Baixo), escritos de forma consistente: sem problemas.</t>
  </si>
  <si>
    <t xml:space="preserve">O Pattern Profile do email não generaliza com poucos registos (cada email é um padrão); a validação foi complementada por SQL.</t>
  </si>
  <si>
    <t xml:space="preserve">SELECT … WHERE email NOT LIKE '%_@_%._%'</t>
  </si>
  <si>
    <t xml:space="preserve">Não há registos com last_update anterior a create (datas de auditoria consistentes nesta tabela).</t>
  </si>
  <si>
    <t xml:space="preserve">Regra para a tabela de erros da Staging Area (cargas futuras): cliente sem number ou sem name → tabela de erros. Na amostra não há casos.</t>
  </si>
  <si>
    <t xml:space="preserve">Regra proposta</t>
  </si>
  <si>
    <t xml:space="preserve">Sem NULLs nem valores vazios em nenhuma coluna; invoice_line_stamp_id é 100% único (Candidate Key).</t>
  </si>
  <si>
    <t xml:space="preserve">Null Ratio + Candidate Key</t>
  </si>
  <si>
    <t xml:space="preserve">Integridade referencial completa: todas as linhas têm fatura e produto existentes; nenhuma linha refere os produtos com atributos a NULL (Z001, CORSR).</t>
  </si>
  <si>
    <t xml:space="preserve">Consulta SQL c)</t>
  </si>
  <si>
    <t xml:space="preserve">Em valor absoluto, quantity × unit_price = line_total em todas as 93 linhas, e line_vat = 23% de line_total em todas (todos os produtos têm vat_rate 23).</t>
  </si>
  <si>
    <t xml:space="preserve">Consultas SQL a) e b)</t>
  </si>
  <si>
    <t xml:space="preserve">As quantidades são todas inteiras, apesar de o tipo ser numeric(14,4). 34 produtos distintos vendidos (de 67); 1 a 5 linhas por fatura; nenhum produto repetido na mesma fatura.</t>
  </si>
  <si>
    <t xml:space="preserve">Column Statistics + SQL</t>
  </si>
  <si>
    <t xml:space="preserve">Os custos de expedição (frete) existem só ao nível da fatura: como o grão do data mart é a linha, será necessário repartir o frete pelas linhas (decisão do modelo dimensional).</t>
  </si>
  <si>
    <t xml:space="preserve">Enunciado</t>
  </si>
  <si>
    <t xml:space="preserve">Regra para a tabela de erros: linha cujo |quantity| × |unit_price| ≠ line_total, com IVA incoerente, ou com fatura/produto inexistente → tabela de erros. Na amostra não há casos após a correção de sinal.</t>
  </si>
  <si>
    <t xml:space="preserve">Sem NULLs nem vazios; invoice_stamp_id único; todos os clientes e funcionários referidos existem; todas as faturas têm pelo menos 1 linha (1 a 5).</t>
  </si>
  <si>
    <t xml:space="preserve">Null Ratio + Candidate Key + SQL</t>
  </si>
  <si>
    <t xml:space="preserve">O IVA incide apenas sobre os produtos e não sobre os portes: vat_value = soma do IVA das linhas = 23% × products_total (exceto nas 2 faturas com products_total errado). final_total = total_for_vat + vat_value em todas as faturas.</t>
  </si>
  <si>
    <t xml:space="preserve">Regra de portes observada: shipping_cost = 2,5% × products_total em 35 de 37 faturas.</t>
  </si>
  <si>
    <t xml:space="preserve">Todas as faturas são de 2025 e quase todas emitidas no último dia do mês (31/01, 28/02, 31/03, 30/04), exceto 1 a 01/05. Consequência: com esta amostra, a análise 6 (6.ª semana de 2025) e a análise 10 (fim de semana do 2.º trimestre) não devolvem resultados; a análise 5 (último dia do mês) abrange quase tudo.</t>
  </si>
  <si>
    <t xml:space="preserve">Column Value Distribution (invoice_date)</t>
  </si>
  <si>
    <t xml:space="preserve">Faturas emitidas também por funcionários dos grupos Administrador (2 e 5) e Administrativo (1 e 6), e não só pelos Vendedores (3 e 4). Não é erro, mas é relevante para as análises por funcionário.</t>
  </si>
  <si>
    <t xml:space="preserve">Prazo de pagamento real entre 0 e 334 dias (média de 147), muito acima do days_pay_invoices dos clientes (30). Não é um problema de qualidade, mas pode ser uma métrica interessante (dias até ao pagamento).</t>
  </si>
  <si>
    <t xml:space="preserve">Regra para a tabela de erros: fatura com products_total ≠ soma das linhas, com final_total ≠ total_for_vat + vat_value, ou com cliente/funcionário inexistente → fatura e respetivas linhas para a tabela de erros.</t>
  </si>
  <si>
    <t xml:space="preserve">reference e name são 100% únicos (Candidate Key); sem NULLs; datas de auditoria coerentes (sem last_update anterior a create).</t>
  </si>
  <si>
    <t xml:space="preserve">Candidate Key + SQL c)</t>
  </si>
  <si>
    <t xml:space="preserve">9 das 17 famílias não têm produtos: Aluguer, Grav, Formacao, Serviços, Amp, Mon, Tcl, Timb, Comm. Consequência: na análise 10 (famílias "Acessórios", "Amplificadores" e "Teclados"), só "Acessórios" pode devolver resultados com esta amostra.</t>
  </si>
  <si>
    <t xml:space="preserve">SQL a)</t>
  </si>
  <si>
    <t xml:space="preserve">A classification existe em families e em products e, quando ambas estão preenchidas, coincidem sempre. Para evitar redundância, a classificação deve vir de uma só fonte na dimensão de produto.</t>
  </si>
  <si>
    <t xml:space="preserve">SQL b)</t>
  </si>
  <si>
    <t xml:space="preserve">Todos os produtos com família preenchida referem uma família existente. Os produtos sem família (Z001 e CORSR, com todos os atributos a NULL) são tratados na análise da products.</t>
  </si>
  <si>
    <t xml:space="preserve">Tabela limpa: código e Category 100% únicos, sem NULLs nem vazios, códigos consecutivos de 1 a 11. Todos os produtos com categoria preenchida referem uma categoria existente (os produtos Z001 e CORSR, sem categoria, são tratados na products).</t>
  </si>
  <si>
    <t xml:space="preserve">Candidate Key + Column Statistics + SQL b)</t>
  </si>
  <si>
    <t xml:space="preserve">A tabela não tem datas de criação nem de alteração: a carga incremental não pode basear-se em datas; é preciso comparar os registos (ex.: componente Slowly Changing Dimension ou Lookup sobre o código).</t>
  </si>
  <si>
    <t xml:space="preserve">Estrutura da tabela</t>
  </si>
  <si>
    <t xml:space="preserve">1 categoria sem produtos: "Complementos" (código 3).</t>
  </si>
  <si>
    <t xml:space="preserve">As categorias da análise 9 ("Ar", "Cordas" e "Membranas") existem e têm vendas (10, 27 e 11 linhas de fatura, respetivamente).</t>
  </si>
  <si>
    <t xml:space="preserve">SQL c)</t>
  </si>
  <si>
    <t xml:space="preserve">Família e categoria não formam uma hierarquia: a família Acessorios tem produtos em 4 categorias (Cases, Cordas, Interface, Peças) e as categorias Cordas e Peças têm produtos de 2 famílias. No modelo dimensional devem ser duas hierarquias independentes na dimensão produto (produto → família e produto → categoria).</t>
  </si>
  <si>
    <t xml:space="preserve">SQL d)</t>
  </si>
  <si>
    <t xml:space="preserve">"Peças" e "Pilhas" existem simultaneamente como categoria, como família/classificação ou como classification dos produtos. Convém nomear claramente os atributos na dimensão para evitar confusão nas análises.</t>
  </si>
  <si>
    <t xml:space="preserve">Comparação entre tabelas</t>
  </si>
  <si>
    <t xml:space="preserve">Perfil</t>
  </si>
  <si>
    <t xml:space="preserve">Tipo</t>
  </si>
  <si>
    <t xml:space="preserve">Automatizavel</t>
  </si>
  <si>
    <t xml:space="preserve">Destino</t>
  </si>
  <si>
    <t xml:space="preserve">Column Length Distribution</t>
  </si>
  <si>
    <t xml:space="preserve">Candidate Key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</si>
</sst>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597"/>
        <bgColor rgb="FF1F3864"/>
      </patternFill>
    </fill>
    <fill>
      <patternFill patternType="solid">
        <fgColor rgb="FFF7F9FC"/>
        <bgColor rgb="FFFFFFFF"/>
      </patternFill>
    </fill>
    <fill>
      <patternFill patternType="solid">
        <fgColor rgb="FFDCE6F2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2F5597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E699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7F9F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54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42"/>
    <col collapsed="false" customWidth="true" hidden="false" outlineLevel="0" max="6" min="6" style="0" width="30"/>
    <col collapsed="false" customWidth="true" hidden="false" outlineLevel="0" max="7" min="7" style="0" width="13"/>
    <col collapsed="false" customWidth="true" hidden="false" outlineLevel="0" max="8" min="8" style="0" width="24"/>
    <col collapsed="false" customWidth="true" hidden="false" outlineLevel="0" max="9" min="9" style="0" width="11"/>
    <col collapsed="false" customWidth="true" hidden="false" outlineLevel="0" max="10" min="10" style="0" width="17"/>
    <col collapsed="false" customWidth="true" hidden="false" outlineLevel="0" max="11" min="11" style="0" width="42"/>
    <col collapsed="false" customWidth="true" hidden="false" outlineLevel="0" max="12" min="12" style="0" width="22"/>
    <col collapsed="false" customWidth="true" hidden="false" outlineLevel="0" max="13" min="13" style="0" width="3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9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57.45" hidden="false" customHeight="false" outlineLevel="0" collapsed="false">
      <c r="A5" s="4" t="n">
        <f aca="false">IF(B5="","",COUNTA($B$5:B5))</f>
        <v>1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19</v>
      </c>
      <c r="G5" s="6" t="n">
        <v>2</v>
      </c>
      <c r="H5" s="5" t="s">
        <v>20</v>
      </c>
      <c r="I5" s="6" t="s">
        <v>21</v>
      </c>
      <c r="J5" s="6" t="s">
        <v>22</v>
      </c>
      <c r="K5" s="5" t="s">
        <v>23</v>
      </c>
      <c r="L5" s="5" t="s">
        <v>24</v>
      </c>
      <c r="M5" s="5" t="s">
        <v>25</v>
      </c>
    </row>
    <row r="6" customFormat="false" ht="46.25" hidden="false" customHeight="false" outlineLevel="0" collapsed="false">
      <c r="A6" s="7" t="n">
        <f aca="false">IF(B6="","",COUNTA($B$5:B6))</f>
        <v>2</v>
      </c>
      <c r="B6" s="8" t="s">
        <v>15</v>
      </c>
      <c r="C6" s="8" t="s">
        <v>26</v>
      </c>
      <c r="D6" s="8" t="s">
        <v>27</v>
      </c>
      <c r="E6" s="8" t="s">
        <v>28</v>
      </c>
      <c r="F6" s="8" t="s">
        <v>29</v>
      </c>
      <c r="G6" s="9" t="n">
        <v>2</v>
      </c>
      <c r="H6" s="8" t="s">
        <v>30</v>
      </c>
      <c r="I6" s="9" t="s">
        <v>21</v>
      </c>
      <c r="J6" s="9" t="s">
        <v>22</v>
      </c>
      <c r="K6" s="8" t="s">
        <v>31</v>
      </c>
      <c r="L6" s="8" t="s">
        <v>24</v>
      </c>
      <c r="M6" s="8" t="s">
        <v>32</v>
      </c>
    </row>
    <row r="7" customFormat="false" ht="57.45" hidden="false" customHeight="false" outlineLevel="0" collapsed="false">
      <c r="A7" s="4" t="n">
        <f aca="false">IF(B7="","",COUNTA($B$5:B7))</f>
        <v>3</v>
      </c>
      <c r="B7" s="5" t="s">
        <v>15</v>
      </c>
      <c r="C7" s="5" t="s">
        <v>33</v>
      </c>
      <c r="D7" s="5" t="s">
        <v>27</v>
      </c>
      <c r="E7" s="5" t="s">
        <v>34</v>
      </c>
      <c r="F7" s="5" t="s">
        <v>35</v>
      </c>
      <c r="G7" s="6" t="n">
        <v>2</v>
      </c>
      <c r="H7" s="5" t="s">
        <v>30</v>
      </c>
      <c r="I7" s="6" t="s">
        <v>21</v>
      </c>
      <c r="J7" s="6" t="s">
        <v>22</v>
      </c>
      <c r="K7" s="5" t="s">
        <v>36</v>
      </c>
      <c r="L7" s="5" t="s">
        <v>24</v>
      </c>
      <c r="M7" s="5" t="s">
        <v>37</v>
      </c>
    </row>
    <row r="8" customFormat="false" ht="35.05" hidden="false" customHeight="false" outlineLevel="0" collapsed="false">
      <c r="A8" s="7" t="n">
        <f aca="false">IF(B8="","",COUNTA($B$5:B8))</f>
        <v>4</v>
      </c>
      <c r="B8" s="8" t="s">
        <v>15</v>
      </c>
      <c r="C8" s="8" t="s">
        <v>38</v>
      </c>
      <c r="D8" s="8" t="s">
        <v>39</v>
      </c>
      <c r="E8" s="8" t="s">
        <v>40</v>
      </c>
      <c r="F8" s="8" t="s">
        <v>41</v>
      </c>
      <c r="G8" s="9" t="n">
        <v>2</v>
      </c>
      <c r="H8" s="8" t="s">
        <v>42</v>
      </c>
      <c r="I8" s="9" t="s">
        <v>43</v>
      </c>
      <c r="J8" s="9" t="s">
        <v>22</v>
      </c>
      <c r="K8" s="8" t="s">
        <v>44</v>
      </c>
      <c r="L8" s="8" t="s">
        <v>24</v>
      </c>
      <c r="M8" s="8" t="s">
        <v>45</v>
      </c>
    </row>
    <row r="9" customFormat="false" ht="35.05" hidden="false" customHeight="false" outlineLevel="0" collapsed="false">
      <c r="A9" s="4" t="n">
        <f aca="false">IF(B9="","",COUNTA($B$5:B9))</f>
        <v>5</v>
      </c>
      <c r="B9" s="5" t="s">
        <v>15</v>
      </c>
      <c r="C9" s="5" t="s">
        <v>46</v>
      </c>
      <c r="D9" s="5" t="s">
        <v>27</v>
      </c>
      <c r="E9" s="5" t="s">
        <v>47</v>
      </c>
      <c r="F9" s="5" t="s">
        <v>48</v>
      </c>
      <c r="G9" s="6" t="n">
        <v>24</v>
      </c>
      <c r="H9" s="5" t="s">
        <v>49</v>
      </c>
      <c r="I9" s="6" t="s">
        <v>21</v>
      </c>
      <c r="J9" s="6" t="s">
        <v>22</v>
      </c>
      <c r="K9" s="5" t="s">
        <v>50</v>
      </c>
      <c r="L9" s="5" t="s">
        <v>24</v>
      </c>
      <c r="M9" s="5" t="s">
        <v>51</v>
      </c>
    </row>
    <row r="10" customFormat="false" ht="35.05" hidden="false" customHeight="false" outlineLevel="0" collapsed="false">
      <c r="A10" s="7" t="n">
        <f aca="false">IF(B10="","",COUNTA($B$5:B10))</f>
        <v>6</v>
      </c>
      <c r="B10" s="8" t="s">
        <v>15</v>
      </c>
      <c r="C10" s="8" t="s">
        <v>52</v>
      </c>
      <c r="D10" s="8" t="s">
        <v>27</v>
      </c>
      <c r="E10" s="8" t="s">
        <v>53</v>
      </c>
      <c r="F10" s="8" t="s">
        <v>54</v>
      </c>
      <c r="G10" s="9" t="n">
        <v>2</v>
      </c>
      <c r="H10" s="8" t="s">
        <v>42</v>
      </c>
      <c r="I10" s="9" t="s">
        <v>55</v>
      </c>
      <c r="J10" s="9" t="s">
        <v>22</v>
      </c>
      <c r="K10" s="8" t="s">
        <v>56</v>
      </c>
      <c r="L10" s="8" t="s">
        <v>24</v>
      </c>
      <c r="M10" s="8" t="s">
        <v>57</v>
      </c>
    </row>
    <row r="11" customFormat="false" ht="35.05" hidden="false" customHeight="false" outlineLevel="0" collapsed="false">
      <c r="A11" s="4" t="n">
        <f aca="false">IF(B11="","",COUNTA($B$5:B11))</f>
        <v>7</v>
      </c>
      <c r="B11" s="5" t="s">
        <v>15</v>
      </c>
      <c r="C11" s="5" t="s">
        <v>52</v>
      </c>
      <c r="D11" s="5" t="s">
        <v>58</v>
      </c>
      <c r="E11" s="5" t="s">
        <v>59</v>
      </c>
      <c r="F11" s="5" t="s">
        <v>60</v>
      </c>
      <c r="G11" s="6" t="n">
        <v>1</v>
      </c>
      <c r="H11" s="5" t="s">
        <v>61</v>
      </c>
      <c r="I11" s="6" t="s">
        <v>43</v>
      </c>
      <c r="J11" s="6" t="s">
        <v>22</v>
      </c>
      <c r="K11" s="5" t="s">
        <v>62</v>
      </c>
      <c r="L11" s="5" t="s">
        <v>24</v>
      </c>
      <c r="M11" s="5" t="s">
        <v>63</v>
      </c>
    </row>
    <row r="12" customFormat="false" ht="35.05" hidden="false" customHeight="false" outlineLevel="0" collapsed="false">
      <c r="A12" s="7" t="n">
        <f aca="false">IF(B12="","",COUNTA($B$5:B12))</f>
        <v>8</v>
      </c>
      <c r="B12" s="8" t="s">
        <v>15</v>
      </c>
      <c r="C12" s="8" t="s">
        <v>64</v>
      </c>
      <c r="D12" s="8" t="s">
        <v>27</v>
      </c>
      <c r="E12" s="8" t="s">
        <v>65</v>
      </c>
      <c r="F12" s="8" t="s">
        <v>66</v>
      </c>
      <c r="G12" s="9" t="n">
        <v>1</v>
      </c>
      <c r="H12" s="8" t="s">
        <v>67</v>
      </c>
      <c r="I12" s="9" t="s">
        <v>55</v>
      </c>
      <c r="J12" s="9" t="s">
        <v>22</v>
      </c>
      <c r="K12" s="8" t="s">
        <v>68</v>
      </c>
      <c r="L12" s="8" t="s">
        <v>24</v>
      </c>
      <c r="M12" s="8" t="s">
        <v>69</v>
      </c>
    </row>
    <row r="13" customFormat="false" ht="23.85" hidden="false" customHeight="false" outlineLevel="0" collapsed="false">
      <c r="A13" s="4" t="n">
        <f aca="false">IF(B13="","",COUNTA($B$5:B13))</f>
        <v>9</v>
      </c>
      <c r="B13" s="5" t="s">
        <v>15</v>
      </c>
      <c r="C13" s="5" t="s">
        <v>64</v>
      </c>
      <c r="D13" s="5" t="s">
        <v>27</v>
      </c>
      <c r="E13" s="5" t="s">
        <v>70</v>
      </c>
      <c r="F13" s="5" t="s">
        <v>71</v>
      </c>
      <c r="G13" s="6" t="n">
        <v>3</v>
      </c>
      <c r="H13" s="5" t="s">
        <v>42</v>
      </c>
      <c r="I13" s="6" t="s">
        <v>55</v>
      </c>
      <c r="J13" s="6" t="s">
        <v>22</v>
      </c>
      <c r="K13" s="5" t="s">
        <v>72</v>
      </c>
      <c r="L13" s="5" t="s">
        <v>24</v>
      </c>
      <c r="M13" s="5"/>
    </row>
    <row r="14" customFormat="false" ht="23.85" hidden="false" customHeight="false" outlineLevel="0" collapsed="false">
      <c r="A14" s="7" t="n">
        <f aca="false">IF(B14="","",COUNTA($B$5:B14))</f>
        <v>10</v>
      </c>
      <c r="B14" s="8" t="s">
        <v>15</v>
      </c>
      <c r="C14" s="8" t="s">
        <v>73</v>
      </c>
      <c r="D14" s="8" t="s">
        <v>27</v>
      </c>
      <c r="E14" s="8" t="s">
        <v>74</v>
      </c>
      <c r="F14" s="8" t="s">
        <v>54</v>
      </c>
      <c r="G14" s="9" t="n">
        <v>2</v>
      </c>
      <c r="H14" s="8" t="s">
        <v>42</v>
      </c>
      <c r="I14" s="9" t="s">
        <v>55</v>
      </c>
      <c r="J14" s="9" t="s">
        <v>22</v>
      </c>
      <c r="K14" s="8" t="s">
        <v>75</v>
      </c>
      <c r="L14" s="8" t="s">
        <v>24</v>
      </c>
      <c r="M14" s="8" t="s">
        <v>57</v>
      </c>
    </row>
    <row r="15" customFormat="false" ht="57.45" hidden="false" customHeight="false" outlineLevel="0" collapsed="false">
      <c r="A15" s="4" t="n">
        <f aca="false">IF(B15="","",COUNTA($B$5:B15))</f>
        <v>11</v>
      </c>
      <c r="B15" s="5" t="s">
        <v>15</v>
      </c>
      <c r="C15" s="5" t="s">
        <v>76</v>
      </c>
      <c r="D15" s="5" t="s">
        <v>77</v>
      </c>
      <c r="E15" s="5" t="s">
        <v>78</v>
      </c>
      <c r="F15" s="5" t="s">
        <v>79</v>
      </c>
      <c r="G15" s="6" t="n">
        <v>4</v>
      </c>
      <c r="H15" s="5" t="s">
        <v>80</v>
      </c>
      <c r="I15" s="6" t="s">
        <v>55</v>
      </c>
      <c r="J15" s="6" t="s">
        <v>22</v>
      </c>
      <c r="K15" s="5" t="s">
        <v>81</v>
      </c>
      <c r="L15" s="5" t="s">
        <v>24</v>
      </c>
      <c r="M15" s="5" t="s">
        <v>82</v>
      </c>
    </row>
    <row r="16" customFormat="false" ht="35.05" hidden="false" customHeight="false" outlineLevel="0" collapsed="false">
      <c r="A16" s="7" t="n">
        <f aca="false">IF(B16="","",COUNTA($B$5:B16))</f>
        <v>12</v>
      </c>
      <c r="B16" s="8" t="s">
        <v>15</v>
      </c>
      <c r="C16" s="8" t="s">
        <v>83</v>
      </c>
      <c r="D16" s="8" t="s">
        <v>77</v>
      </c>
      <c r="E16" s="8" t="s">
        <v>84</v>
      </c>
      <c r="F16" s="8" t="s">
        <v>85</v>
      </c>
      <c r="G16" s="9" t="n">
        <v>8</v>
      </c>
      <c r="H16" s="8" t="s">
        <v>42</v>
      </c>
      <c r="I16" s="9" t="s">
        <v>55</v>
      </c>
      <c r="J16" s="9" t="s">
        <v>22</v>
      </c>
      <c r="K16" s="8" t="s">
        <v>86</v>
      </c>
      <c r="L16" s="8" t="s">
        <v>24</v>
      </c>
      <c r="M16" s="8" t="s">
        <v>87</v>
      </c>
    </row>
    <row r="17" customFormat="false" ht="57.45" hidden="false" customHeight="false" outlineLevel="0" collapsed="false">
      <c r="A17" s="4" t="n">
        <f aca="false">IF(B17="","",COUNTA($B$5:B17))</f>
        <v>13</v>
      </c>
      <c r="B17" s="5" t="s">
        <v>15</v>
      </c>
      <c r="C17" s="5" t="s">
        <v>88</v>
      </c>
      <c r="D17" s="5" t="s">
        <v>89</v>
      </c>
      <c r="E17" s="5" t="s">
        <v>90</v>
      </c>
      <c r="F17" s="5" t="s">
        <v>91</v>
      </c>
      <c r="G17" s="6" t="n">
        <v>1</v>
      </c>
      <c r="H17" s="5" t="s">
        <v>61</v>
      </c>
      <c r="I17" s="6" t="s">
        <v>55</v>
      </c>
      <c r="J17" s="6" t="s">
        <v>92</v>
      </c>
      <c r="K17" s="5" t="s">
        <v>93</v>
      </c>
      <c r="L17" s="5" t="s">
        <v>24</v>
      </c>
      <c r="M17" s="5" t="s">
        <v>94</v>
      </c>
    </row>
    <row r="18" customFormat="false" ht="23.85" hidden="false" customHeight="false" outlineLevel="0" collapsed="false">
      <c r="A18" s="7" t="n">
        <f aca="false">IF(B18="","",COUNTA($B$5:B18))</f>
        <v>14</v>
      </c>
      <c r="B18" s="8" t="s">
        <v>15</v>
      </c>
      <c r="C18" s="8" t="s">
        <v>88</v>
      </c>
      <c r="D18" s="8" t="s">
        <v>27</v>
      </c>
      <c r="E18" s="8" t="s">
        <v>95</v>
      </c>
      <c r="F18" s="8" t="s">
        <v>96</v>
      </c>
      <c r="G18" s="9" t="n">
        <v>12</v>
      </c>
      <c r="H18" s="8" t="s">
        <v>42</v>
      </c>
      <c r="I18" s="9" t="s">
        <v>55</v>
      </c>
      <c r="J18" s="9" t="s">
        <v>22</v>
      </c>
      <c r="K18" s="8" t="s">
        <v>97</v>
      </c>
      <c r="L18" s="8" t="s">
        <v>24</v>
      </c>
      <c r="M18" s="8"/>
    </row>
    <row r="19" customFormat="false" ht="35.05" hidden="false" customHeight="false" outlineLevel="0" collapsed="false">
      <c r="A19" s="4" t="n">
        <f aca="false">IF(B19="","",COUNTA($B$5:B19))</f>
        <v>15</v>
      </c>
      <c r="B19" s="5" t="s">
        <v>15</v>
      </c>
      <c r="C19" s="5" t="s">
        <v>98</v>
      </c>
      <c r="D19" s="5" t="s">
        <v>89</v>
      </c>
      <c r="E19" s="5" t="s">
        <v>99</v>
      </c>
      <c r="F19" s="5" t="s">
        <v>100</v>
      </c>
      <c r="G19" s="6" t="n">
        <v>9</v>
      </c>
      <c r="H19" s="5" t="s">
        <v>61</v>
      </c>
      <c r="I19" s="6" t="s">
        <v>55</v>
      </c>
      <c r="J19" s="6" t="s">
        <v>22</v>
      </c>
      <c r="K19" s="5" t="s">
        <v>101</v>
      </c>
      <c r="L19" s="5" t="s">
        <v>24</v>
      </c>
      <c r="M19" s="5" t="s">
        <v>102</v>
      </c>
    </row>
    <row r="20" customFormat="false" ht="23.85" hidden="false" customHeight="false" outlineLevel="0" collapsed="false">
      <c r="A20" s="7" t="n">
        <f aca="false">IF(B20="","",COUNTA($B$5:B20))</f>
        <v>16</v>
      </c>
      <c r="B20" s="8" t="s">
        <v>15</v>
      </c>
      <c r="C20" s="8" t="s">
        <v>103</v>
      </c>
      <c r="D20" s="8" t="s">
        <v>27</v>
      </c>
      <c r="E20" s="8" t="s">
        <v>104</v>
      </c>
      <c r="F20" s="8" t="s">
        <v>105</v>
      </c>
      <c r="G20" s="9" t="n">
        <v>8</v>
      </c>
      <c r="H20" s="8" t="s">
        <v>42</v>
      </c>
      <c r="I20" s="9" t="s">
        <v>55</v>
      </c>
      <c r="J20" s="9" t="s">
        <v>22</v>
      </c>
      <c r="K20" s="8" t="s">
        <v>106</v>
      </c>
      <c r="L20" s="8" t="s">
        <v>24</v>
      </c>
      <c r="M20" s="8"/>
    </row>
    <row r="21" customFormat="false" ht="23.85" hidden="false" customHeight="false" outlineLevel="0" collapsed="false">
      <c r="A21" s="4" t="n">
        <f aca="false">IF(B21="","",COUNTA($B$5:B21))</f>
        <v>17</v>
      </c>
      <c r="B21" s="5" t="s">
        <v>15</v>
      </c>
      <c r="C21" s="5" t="s">
        <v>107</v>
      </c>
      <c r="D21" s="5" t="s">
        <v>27</v>
      </c>
      <c r="E21" s="5" t="s">
        <v>108</v>
      </c>
      <c r="F21" s="5" t="s">
        <v>109</v>
      </c>
      <c r="G21" s="6" t="n">
        <v>21</v>
      </c>
      <c r="H21" s="5" t="s">
        <v>42</v>
      </c>
      <c r="I21" s="6" t="s">
        <v>55</v>
      </c>
      <c r="J21" s="6" t="s">
        <v>22</v>
      </c>
      <c r="K21" s="5" t="s">
        <v>110</v>
      </c>
      <c r="L21" s="5" t="s">
        <v>24</v>
      </c>
      <c r="M21" s="5"/>
    </row>
    <row r="22" customFormat="false" ht="23.85" hidden="false" customHeight="false" outlineLevel="0" collapsed="false">
      <c r="A22" s="7" t="n">
        <f aca="false">IF(B22="","",COUNTA($B$5:B22))</f>
        <v>18</v>
      </c>
      <c r="B22" s="8" t="s">
        <v>15</v>
      </c>
      <c r="C22" s="8" t="s">
        <v>111</v>
      </c>
      <c r="D22" s="8" t="s">
        <v>27</v>
      </c>
      <c r="E22" s="8" t="s">
        <v>112</v>
      </c>
      <c r="F22" s="8" t="s">
        <v>113</v>
      </c>
      <c r="G22" s="9" t="n">
        <v>12</v>
      </c>
      <c r="H22" s="8" t="s">
        <v>42</v>
      </c>
      <c r="I22" s="9" t="s">
        <v>55</v>
      </c>
      <c r="J22" s="9" t="s">
        <v>22</v>
      </c>
      <c r="K22" s="8" t="s">
        <v>114</v>
      </c>
      <c r="L22" s="8" t="s">
        <v>24</v>
      </c>
      <c r="M22" s="8"/>
    </row>
    <row r="23" customFormat="false" ht="57.45" hidden="false" customHeight="false" outlineLevel="0" collapsed="false">
      <c r="A23" s="4" t="n">
        <f aca="false">IF(B23="","",COUNTA($B$5:B23))</f>
        <v>19</v>
      </c>
      <c r="B23" s="5" t="s">
        <v>15</v>
      </c>
      <c r="C23" s="5" t="s">
        <v>115</v>
      </c>
      <c r="D23" s="5" t="s">
        <v>116</v>
      </c>
      <c r="E23" s="5" t="s">
        <v>117</v>
      </c>
      <c r="F23" s="5" t="s">
        <v>118</v>
      </c>
      <c r="G23" s="6" t="n">
        <v>4</v>
      </c>
      <c r="H23" s="5" t="s">
        <v>119</v>
      </c>
      <c r="I23" s="6" t="s">
        <v>55</v>
      </c>
      <c r="J23" s="6" t="s">
        <v>92</v>
      </c>
      <c r="K23" s="5" t="s">
        <v>120</v>
      </c>
      <c r="L23" s="5" t="s">
        <v>121</v>
      </c>
      <c r="M23" s="5" t="s">
        <v>122</v>
      </c>
    </row>
    <row r="24" customFormat="false" ht="46.25" hidden="false" customHeight="false" outlineLevel="0" collapsed="false">
      <c r="A24" s="7" t="n">
        <f aca="false">IF(B24="","",COUNTA($B$5:B24))</f>
        <v>20</v>
      </c>
      <c r="B24" s="8" t="s">
        <v>15</v>
      </c>
      <c r="C24" s="8" t="s">
        <v>123</v>
      </c>
      <c r="D24" s="8" t="s">
        <v>27</v>
      </c>
      <c r="E24" s="8" t="s">
        <v>124</v>
      </c>
      <c r="F24" s="8" t="s">
        <v>125</v>
      </c>
      <c r="G24" s="9" t="n">
        <v>4</v>
      </c>
      <c r="H24" s="8" t="s">
        <v>126</v>
      </c>
      <c r="I24" s="9" t="s">
        <v>43</v>
      </c>
      <c r="J24" s="9" t="s">
        <v>92</v>
      </c>
      <c r="K24" s="8" t="s">
        <v>127</v>
      </c>
      <c r="L24" s="8" t="s">
        <v>121</v>
      </c>
      <c r="M24" s="8" t="s">
        <v>128</v>
      </c>
    </row>
    <row r="25" customFormat="false" ht="68.65" hidden="false" customHeight="false" outlineLevel="0" collapsed="false">
      <c r="A25" s="4" t="n">
        <f aca="false">IF(B25="","",COUNTA($B$5:B25))</f>
        <v>21</v>
      </c>
      <c r="B25" s="5" t="s">
        <v>129</v>
      </c>
      <c r="C25" s="5" t="s">
        <v>130</v>
      </c>
      <c r="D25" s="5" t="s">
        <v>131</v>
      </c>
      <c r="E25" s="5" t="s">
        <v>132</v>
      </c>
      <c r="F25" s="5" t="s">
        <v>133</v>
      </c>
      <c r="G25" s="6" t="n">
        <v>2</v>
      </c>
      <c r="H25" s="5" t="s">
        <v>80</v>
      </c>
      <c r="I25" s="6" t="s">
        <v>21</v>
      </c>
      <c r="J25" s="6" t="s">
        <v>22</v>
      </c>
      <c r="K25" s="5" t="s">
        <v>134</v>
      </c>
      <c r="L25" s="5" t="s">
        <v>24</v>
      </c>
      <c r="M25" s="5" t="s">
        <v>135</v>
      </c>
    </row>
    <row r="26" customFormat="false" ht="79.85" hidden="false" customHeight="false" outlineLevel="0" collapsed="false">
      <c r="A26" s="7" t="n">
        <f aca="false">IF(B26="","",COUNTA($B$5:B26))</f>
        <v>22</v>
      </c>
      <c r="B26" s="8" t="s">
        <v>129</v>
      </c>
      <c r="C26" s="8" t="s">
        <v>136</v>
      </c>
      <c r="D26" s="8" t="s">
        <v>131</v>
      </c>
      <c r="E26" s="8" t="s">
        <v>137</v>
      </c>
      <c r="F26" s="8" t="s">
        <v>138</v>
      </c>
      <c r="G26" s="9" t="n">
        <v>2</v>
      </c>
      <c r="H26" s="8" t="s">
        <v>80</v>
      </c>
      <c r="I26" s="9" t="s">
        <v>21</v>
      </c>
      <c r="J26" s="9" t="s">
        <v>22</v>
      </c>
      <c r="K26" s="8" t="s">
        <v>139</v>
      </c>
      <c r="L26" s="8" t="s">
        <v>24</v>
      </c>
      <c r="M26" s="8" t="s">
        <v>140</v>
      </c>
    </row>
    <row r="27" customFormat="false" ht="102.2" hidden="false" customHeight="false" outlineLevel="0" collapsed="false">
      <c r="A27" s="4" t="n">
        <f aca="false">IF(B27="","",COUNTA($B$5:B27))</f>
        <v>23</v>
      </c>
      <c r="B27" s="5" t="s">
        <v>129</v>
      </c>
      <c r="C27" s="5" t="s">
        <v>136</v>
      </c>
      <c r="D27" s="5" t="s">
        <v>141</v>
      </c>
      <c r="E27" s="5" t="s">
        <v>142</v>
      </c>
      <c r="F27" s="5" t="s">
        <v>143</v>
      </c>
      <c r="G27" s="6" t="n">
        <v>10</v>
      </c>
      <c r="H27" s="5" t="s">
        <v>126</v>
      </c>
      <c r="I27" s="6" t="s">
        <v>55</v>
      </c>
      <c r="J27" s="6" t="s">
        <v>92</v>
      </c>
      <c r="K27" s="5" t="s">
        <v>144</v>
      </c>
      <c r="L27" s="5" t="s">
        <v>121</v>
      </c>
      <c r="M27" s="5" t="s">
        <v>145</v>
      </c>
    </row>
    <row r="28" customFormat="false" ht="46.25" hidden="false" customHeight="false" outlineLevel="0" collapsed="false">
      <c r="A28" s="7" t="n">
        <f aca="false">IF(B28="","",COUNTA($B$5:B28))</f>
        <v>24</v>
      </c>
      <c r="B28" s="8" t="s">
        <v>129</v>
      </c>
      <c r="C28" s="8" t="s">
        <v>146</v>
      </c>
      <c r="D28" s="8" t="s">
        <v>141</v>
      </c>
      <c r="E28" s="8" t="s">
        <v>147</v>
      </c>
      <c r="F28" s="8" t="s">
        <v>148</v>
      </c>
      <c r="G28" s="9" t="n">
        <v>93</v>
      </c>
      <c r="H28" s="8" t="s">
        <v>49</v>
      </c>
      <c r="I28" s="9" t="s">
        <v>43</v>
      </c>
      <c r="J28" s="9" t="s">
        <v>22</v>
      </c>
      <c r="K28" s="8" t="s">
        <v>149</v>
      </c>
      <c r="L28" s="8" t="s">
        <v>121</v>
      </c>
      <c r="M28" s="8" t="s">
        <v>150</v>
      </c>
    </row>
    <row r="29" customFormat="false" ht="46.25" hidden="false" customHeight="false" outlineLevel="0" collapsed="false">
      <c r="A29" s="4" t="n">
        <f aca="false">IF(B29="","",COUNTA($B$5:B29))</f>
        <v>25</v>
      </c>
      <c r="B29" s="5" t="s">
        <v>129</v>
      </c>
      <c r="C29" s="5" t="s">
        <v>151</v>
      </c>
      <c r="D29" s="5" t="s">
        <v>141</v>
      </c>
      <c r="E29" s="5" t="s">
        <v>152</v>
      </c>
      <c r="F29" s="5" t="s">
        <v>153</v>
      </c>
      <c r="G29" s="6" t="n">
        <v>3</v>
      </c>
      <c r="H29" s="5" t="s">
        <v>49</v>
      </c>
      <c r="I29" s="6" t="s">
        <v>43</v>
      </c>
      <c r="J29" s="6" t="s">
        <v>92</v>
      </c>
      <c r="K29" s="5" t="s">
        <v>154</v>
      </c>
      <c r="L29" s="5" t="s">
        <v>121</v>
      </c>
      <c r="M29" s="5" t="s">
        <v>155</v>
      </c>
    </row>
    <row r="30" customFormat="false" ht="46.25" hidden="false" customHeight="false" outlineLevel="0" collapsed="false">
      <c r="A30" s="7" t="n">
        <f aca="false">IF(B30="","",COUNTA($B$5:B30))</f>
        <v>26</v>
      </c>
      <c r="B30" s="8" t="s">
        <v>129</v>
      </c>
      <c r="C30" s="8" t="s">
        <v>156</v>
      </c>
      <c r="D30" s="8" t="s">
        <v>157</v>
      </c>
      <c r="E30" s="8" t="s">
        <v>158</v>
      </c>
      <c r="F30" s="8" t="s">
        <v>159</v>
      </c>
      <c r="G30" s="9" t="n">
        <v>93</v>
      </c>
      <c r="H30" s="8" t="s">
        <v>61</v>
      </c>
      <c r="I30" s="9" t="s">
        <v>55</v>
      </c>
      <c r="J30" s="9" t="s">
        <v>22</v>
      </c>
      <c r="K30" s="8" t="s">
        <v>160</v>
      </c>
      <c r="L30" s="8" t="s">
        <v>24</v>
      </c>
      <c r="M30" s="8" t="s">
        <v>161</v>
      </c>
    </row>
    <row r="31" customFormat="false" ht="68.65" hidden="false" customHeight="false" outlineLevel="0" collapsed="false">
      <c r="A31" s="4" t="n">
        <f aca="false">IF(B31="","",COUNTA($B$5:B31))</f>
        <v>27</v>
      </c>
      <c r="B31" s="5" t="s">
        <v>129</v>
      </c>
      <c r="C31" s="5" t="s">
        <v>162</v>
      </c>
      <c r="D31" s="5" t="s">
        <v>89</v>
      </c>
      <c r="E31" s="5" t="s">
        <v>163</v>
      </c>
      <c r="F31" s="5" t="s">
        <v>164</v>
      </c>
      <c r="G31" s="6" t="n">
        <v>1</v>
      </c>
      <c r="H31" s="5" t="s">
        <v>61</v>
      </c>
      <c r="I31" s="6" t="s">
        <v>55</v>
      </c>
      <c r="J31" s="6" t="s">
        <v>92</v>
      </c>
      <c r="K31" s="5" t="s">
        <v>165</v>
      </c>
      <c r="L31" s="5" t="s">
        <v>121</v>
      </c>
      <c r="M31" s="5" t="s">
        <v>166</v>
      </c>
    </row>
    <row r="32" customFormat="false" ht="79.85" hidden="false" customHeight="false" outlineLevel="0" collapsed="false">
      <c r="A32" s="7" t="n">
        <f aca="false">IF(B32="","",COUNTA($B$5:B32))</f>
        <v>28</v>
      </c>
      <c r="B32" s="8" t="s">
        <v>167</v>
      </c>
      <c r="C32" s="8" t="s">
        <v>168</v>
      </c>
      <c r="D32" s="8" t="s">
        <v>141</v>
      </c>
      <c r="E32" s="8" t="s">
        <v>169</v>
      </c>
      <c r="F32" s="8" t="s">
        <v>170</v>
      </c>
      <c r="G32" s="9" t="n">
        <v>2</v>
      </c>
      <c r="H32" s="8" t="s">
        <v>49</v>
      </c>
      <c r="I32" s="9" t="s">
        <v>21</v>
      </c>
      <c r="J32" s="9" t="s">
        <v>92</v>
      </c>
      <c r="K32" s="8" t="s">
        <v>171</v>
      </c>
      <c r="L32" s="8" t="s">
        <v>172</v>
      </c>
      <c r="M32" s="8" t="s">
        <v>173</v>
      </c>
    </row>
    <row r="33" customFormat="false" ht="57.45" hidden="false" customHeight="false" outlineLevel="0" collapsed="false">
      <c r="A33" s="4" t="n">
        <f aca="false">IF(B33="","",COUNTA($B$5:B33))</f>
        <v>29</v>
      </c>
      <c r="B33" s="5" t="s">
        <v>167</v>
      </c>
      <c r="C33" s="5" t="s">
        <v>174</v>
      </c>
      <c r="D33" s="5" t="s">
        <v>141</v>
      </c>
      <c r="E33" s="5" t="s">
        <v>175</v>
      </c>
      <c r="F33" s="5" t="s">
        <v>176</v>
      </c>
      <c r="G33" s="6" t="n">
        <v>2</v>
      </c>
      <c r="H33" s="5" t="s">
        <v>49</v>
      </c>
      <c r="I33" s="6" t="s">
        <v>21</v>
      </c>
      <c r="J33" s="6" t="s">
        <v>22</v>
      </c>
      <c r="K33" s="5" t="s">
        <v>177</v>
      </c>
      <c r="L33" s="5" t="s">
        <v>24</v>
      </c>
      <c r="M33" s="5" t="s">
        <v>178</v>
      </c>
    </row>
    <row r="34" customFormat="false" ht="46.25" hidden="false" customHeight="false" outlineLevel="0" collapsed="false">
      <c r="A34" s="7" t="n">
        <f aca="false">IF(B34="","",COUNTA($B$5:B34))</f>
        <v>30</v>
      </c>
      <c r="B34" s="8" t="s">
        <v>167</v>
      </c>
      <c r="C34" s="8" t="s">
        <v>179</v>
      </c>
      <c r="D34" s="8" t="s">
        <v>141</v>
      </c>
      <c r="E34" s="8" t="s">
        <v>180</v>
      </c>
      <c r="F34" s="8" t="s">
        <v>181</v>
      </c>
      <c r="G34" s="9" t="n">
        <v>1</v>
      </c>
      <c r="H34" s="8" t="s">
        <v>49</v>
      </c>
      <c r="I34" s="9" t="s">
        <v>43</v>
      </c>
      <c r="J34" s="9" t="s">
        <v>92</v>
      </c>
      <c r="K34" s="8" t="s">
        <v>182</v>
      </c>
      <c r="L34" s="8" t="s">
        <v>121</v>
      </c>
      <c r="M34" s="8" t="s">
        <v>183</v>
      </c>
    </row>
    <row r="35" customFormat="false" ht="35.05" hidden="false" customHeight="false" outlineLevel="0" collapsed="false">
      <c r="A35" s="4" t="n">
        <f aca="false">IF(B35="","",COUNTA($B$5:B35))</f>
        <v>31</v>
      </c>
      <c r="B35" s="5" t="s">
        <v>167</v>
      </c>
      <c r="C35" s="5" t="s">
        <v>184</v>
      </c>
      <c r="D35" s="5" t="s">
        <v>141</v>
      </c>
      <c r="E35" s="5" t="s">
        <v>185</v>
      </c>
      <c r="F35" s="5" t="s">
        <v>186</v>
      </c>
      <c r="G35" s="6" t="n">
        <v>4</v>
      </c>
      <c r="H35" s="5" t="s">
        <v>119</v>
      </c>
      <c r="I35" s="6" t="s">
        <v>21</v>
      </c>
      <c r="J35" s="6" t="s">
        <v>22</v>
      </c>
      <c r="K35" s="5" t="s">
        <v>187</v>
      </c>
      <c r="L35" s="5" t="s">
        <v>24</v>
      </c>
      <c r="M35" s="5" t="s">
        <v>188</v>
      </c>
    </row>
    <row r="36" customFormat="false" ht="46.25" hidden="false" customHeight="false" outlineLevel="0" collapsed="false">
      <c r="A36" s="7" t="n">
        <f aca="false">IF(B36="","",COUNTA($B$5:B36))</f>
        <v>32</v>
      </c>
      <c r="B36" s="8" t="s">
        <v>167</v>
      </c>
      <c r="C36" s="8" t="s">
        <v>189</v>
      </c>
      <c r="D36" s="8" t="s">
        <v>27</v>
      </c>
      <c r="E36" s="8" t="s">
        <v>190</v>
      </c>
      <c r="F36" s="8" t="s">
        <v>191</v>
      </c>
      <c r="G36" s="9" t="n">
        <v>37</v>
      </c>
      <c r="H36" s="8" t="s">
        <v>80</v>
      </c>
      <c r="I36" s="9" t="s">
        <v>55</v>
      </c>
      <c r="J36" s="9" t="s">
        <v>22</v>
      </c>
      <c r="K36" s="8" t="s">
        <v>192</v>
      </c>
      <c r="L36" s="8" t="s">
        <v>24</v>
      </c>
      <c r="M36" s="8" t="s">
        <v>193</v>
      </c>
    </row>
    <row r="37" customFormat="false" ht="46.25" hidden="false" customHeight="false" outlineLevel="0" collapsed="false">
      <c r="A37" s="4" t="n">
        <f aca="false">IF(B37="","",COUNTA($B$5:B37))</f>
        <v>33</v>
      </c>
      <c r="B37" s="5" t="s">
        <v>167</v>
      </c>
      <c r="C37" s="5" t="s">
        <v>194</v>
      </c>
      <c r="D37" s="5" t="s">
        <v>141</v>
      </c>
      <c r="E37" s="5" t="s">
        <v>195</v>
      </c>
      <c r="F37" s="5" t="s">
        <v>196</v>
      </c>
      <c r="G37" s="6" t="n">
        <v>31</v>
      </c>
      <c r="H37" s="5" t="s">
        <v>49</v>
      </c>
      <c r="I37" s="6" t="s">
        <v>43</v>
      </c>
      <c r="J37" s="6" t="s">
        <v>22</v>
      </c>
      <c r="K37" s="5" t="s">
        <v>197</v>
      </c>
      <c r="L37" s="5" t="s">
        <v>121</v>
      </c>
      <c r="M37" s="5" t="s">
        <v>198</v>
      </c>
    </row>
    <row r="38" customFormat="false" ht="46.25" hidden="false" customHeight="false" outlineLevel="0" collapsed="false">
      <c r="A38" s="7" t="n">
        <f aca="false">IF(B38="","",COUNTA($B$5:B38))</f>
        <v>34</v>
      </c>
      <c r="B38" s="8" t="s">
        <v>167</v>
      </c>
      <c r="C38" s="8" t="s">
        <v>199</v>
      </c>
      <c r="D38" s="8" t="s">
        <v>200</v>
      </c>
      <c r="E38" s="8" t="s">
        <v>201</v>
      </c>
      <c r="F38" s="8" t="s">
        <v>202</v>
      </c>
      <c r="G38" s="9" t="n">
        <v>18</v>
      </c>
      <c r="H38" s="8" t="s">
        <v>80</v>
      </c>
      <c r="I38" s="9" t="s">
        <v>55</v>
      </c>
      <c r="J38" s="9" t="s">
        <v>92</v>
      </c>
      <c r="K38" s="8" t="s">
        <v>203</v>
      </c>
      <c r="L38" s="8" t="s">
        <v>121</v>
      </c>
      <c r="M38" s="8" t="s">
        <v>204</v>
      </c>
    </row>
    <row r="39" customFormat="false" ht="35.05" hidden="false" customHeight="false" outlineLevel="0" collapsed="false">
      <c r="A39" s="4" t="n">
        <f aca="false">IF(B39="","",COUNTA($B$5:B39))</f>
        <v>35</v>
      </c>
      <c r="B39" s="5" t="s">
        <v>167</v>
      </c>
      <c r="C39" s="5" t="s">
        <v>205</v>
      </c>
      <c r="D39" s="5" t="s">
        <v>206</v>
      </c>
      <c r="E39" s="5" t="s">
        <v>207</v>
      </c>
      <c r="F39" s="5" t="s">
        <v>208</v>
      </c>
      <c r="G39" s="6" t="n">
        <v>37</v>
      </c>
      <c r="H39" s="5" t="s">
        <v>61</v>
      </c>
      <c r="I39" s="6" t="s">
        <v>55</v>
      </c>
      <c r="J39" s="6" t="s">
        <v>22</v>
      </c>
      <c r="K39" s="5" t="s">
        <v>209</v>
      </c>
      <c r="L39" s="5" t="s">
        <v>24</v>
      </c>
      <c r="M39" s="5" t="s">
        <v>210</v>
      </c>
    </row>
    <row r="40" customFormat="false" ht="57.45" hidden="false" customHeight="false" outlineLevel="0" collapsed="false">
      <c r="A40" s="7" t="n">
        <f aca="false">IF(B40="","",COUNTA($B$5:B40))</f>
        <v>36</v>
      </c>
      <c r="B40" s="8" t="s">
        <v>211</v>
      </c>
      <c r="C40" s="8" t="s">
        <v>212</v>
      </c>
      <c r="D40" s="8" t="s">
        <v>116</v>
      </c>
      <c r="E40" s="8" t="s">
        <v>213</v>
      </c>
      <c r="F40" s="8" t="s">
        <v>214</v>
      </c>
      <c r="G40" s="9" t="n">
        <v>8</v>
      </c>
      <c r="H40" s="8" t="s">
        <v>42</v>
      </c>
      <c r="I40" s="9" t="s">
        <v>43</v>
      </c>
      <c r="J40" s="9" t="s">
        <v>22</v>
      </c>
      <c r="K40" s="8" t="s">
        <v>215</v>
      </c>
      <c r="L40" s="8" t="s">
        <v>24</v>
      </c>
      <c r="M40" s="8" t="s">
        <v>216</v>
      </c>
    </row>
    <row r="41" customFormat="false" ht="68.65" hidden="false" customHeight="false" outlineLevel="0" collapsed="false">
      <c r="A41" s="4" t="n">
        <f aca="false">IF(B41="","",COUNTA($B$5:B41))</f>
        <v>37</v>
      </c>
      <c r="B41" s="5" t="s">
        <v>211</v>
      </c>
      <c r="C41" s="5" t="s">
        <v>217</v>
      </c>
      <c r="D41" s="5" t="s">
        <v>27</v>
      </c>
      <c r="E41" s="5" t="s">
        <v>218</v>
      </c>
      <c r="F41" s="5" t="s">
        <v>219</v>
      </c>
      <c r="G41" s="6" t="n">
        <v>4</v>
      </c>
      <c r="H41" s="5" t="s">
        <v>49</v>
      </c>
      <c r="I41" s="6" t="s">
        <v>43</v>
      </c>
      <c r="J41" s="6" t="s">
        <v>22</v>
      </c>
      <c r="K41" s="5" t="s">
        <v>220</v>
      </c>
      <c r="L41" s="5" t="s">
        <v>24</v>
      </c>
      <c r="M41" s="5" t="s">
        <v>221</v>
      </c>
    </row>
    <row r="42" customFormat="false" ht="57.45" hidden="false" customHeight="false" outlineLevel="0" collapsed="false">
      <c r="A42" s="7" t="n">
        <f aca="false">IF(B42="","",COUNTA($B$5:B42))</f>
        <v>38</v>
      </c>
      <c r="B42" s="8" t="s">
        <v>211</v>
      </c>
      <c r="C42" s="8" t="s">
        <v>222</v>
      </c>
      <c r="D42" s="8" t="s">
        <v>27</v>
      </c>
      <c r="E42" s="8" t="s">
        <v>223</v>
      </c>
      <c r="F42" s="8" t="s">
        <v>224</v>
      </c>
      <c r="G42" s="9" t="n">
        <v>17</v>
      </c>
      <c r="H42" s="8" t="s">
        <v>67</v>
      </c>
      <c r="I42" s="9" t="s">
        <v>55</v>
      </c>
      <c r="J42" s="9" t="s">
        <v>92</v>
      </c>
      <c r="K42" s="8" t="s">
        <v>225</v>
      </c>
      <c r="L42" s="8" t="s">
        <v>121</v>
      </c>
      <c r="M42" s="8" t="s">
        <v>226</v>
      </c>
    </row>
    <row r="43" customFormat="false" ht="46.25" hidden="false" customHeight="false" outlineLevel="0" collapsed="false">
      <c r="A43" s="4" t="n">
        <f aca="false">IF(B43="","",COUNTA($B$5:B43))</f>
        <v>39</v>
      </c>
      <c r="B43" s="5" t="s">
        <v>211</v>
      </c>
      <c r="C43" s="5" t="s">
        <v>217</v>
      </c>
      <c r="D43" s="5" t="s">
        <v>27</v>
      </c>
      <c r="E43" s="5" t="s">
        <v>227</v>
      </c>
      <c r="F43" s="5" t="s">
        <v>228</v>
      </c>
      <c r="G43" s="6" t="n">
        <v>1</v>
      </c>
      <c r="H43" s="5" t="s">
        <v>67</v>
      </c>
      <c r="I43" s="6" t="s">
        <v>55</v>
      </c>
      <c r="J43" s="6" t="s">
        <v>22</v>
      </c>
      <c r="K43" s="5" t="s">
        <v>229</v>
      </c>
      <c r="L43" s="5" t="s">
        <v>24</v>
      </c>
      <c r="M43" s="5" t="s">
        <v>230</v>
      </c>
    </row>
    <row r="44" customFormat="false" ht="35.05" hidden="false" customHeight="false" outlineLevel="0" collapsed="false">
      <c r="A44" s="7" t="n">
        <f aca="false">IF(B44="","",COUNTA($B$5:B44))</f>
        <v>40</v>
      </c>
      <c r="B44" s="8" t="s">
        <v>231</v>
      </c>
      <c r="C44" s="8" t="s">
        <v>232</v>
      </c>
      <c r="D44" s="8" t="s">
        <v>27</v>
      </c>
      <c r="E44" s="8" t="s">
        <v>233</v>
      </c>
      <c r="F44" s="8" t="s">
        <v>234</v>
      </c>
      <c r="G44" s="9" t="n">
        <v>2</v>
      </c>
      <c r="H44" s="8" t="s">
        <v>67</v>
      </c>
      <c r="I44" s="9" t="s">
        <v>55</v>
      </c>
      <c r="J44" s="9" t="s">
        <v>22</v>
      </c>
      <c r="K44" s="8" t="s">
        <v>235</v>
      </c>
      <c r="L44" s="8" t="s">
        <v>24</v>
      </c>
      <c r="M44" s="8" t="s">
        <v>236</v>
      </c>
    </row>
    <row r="45" customFormat="false" ht="15" hidden="false" customHeight="false" outlineLevel="0" collapsed="false">
      <c r="A45" s="4" t="str">
        <f aca="false">IF(B45="","",COUNTA($B$5:B45))</f>
        <v/>
      </c>
      <c r="B45" s="5"/>
      <c r="C45" s="5"/>
      <c r="D45" s="5"/>
      <c r="E45" s="5"/>
      <c r="F45" s="5"/>
      <c r="G45" s="6"/>
      <c r="H45" s="5"/>
      <c r="I45" s="6"/>
      <c r="J45" s="6"/>
      <c r="K45" s="5"/>
      <c r="L45" s="5"/>
      <c r="M45" s="5"/>
    </row>
    <row r="46" customFormat="false" ht="15" hidden="false" customHeight="false" outlineLevel="0" collapsed="false">
      <c r="A46" s="7" t="str">
        <f aca="false">IF(B46="","",COUNTA($B$5:B46))</f>
        <v/>
      </c>
      <c r="B46" s="8"/>
      <c r="C46" s="8"/>
      <c r="D46" s="8"/>
      <c r="E46" s="8"/>
      <c r="F46" s="8"/>
      <c r="G46" s="9"/>
      <c r="H46" s="8"/>
      <c r="I46" s="9"/>
      <c r="J46" s="9"/>
      <c r="K46" s="8"/>
      <c r="L46" s="8"/>
      <c r="M46" s="8"/>
    </row>
    <row r="47" customFormat="false" ht="15" hidden="false" customHeight="false" outlineLevel="0" collapsed="false">
      <c r="A47" s="4" t="str">
        <f aca="false">IF(B47="","",COUNTA($B$5:B47))</f>
        <v/>
      </c>
      <c r="B47" s="5"/>
      <c r="C47" s="5"/>
      <c r="D47" s="5"/>
      <c r="E47" s="5"/>
      <c r="F47" s="5"/>
      <c r="G47" s="6"/>
      <c r="H47" s="5"/>
      <c r="I47" s="6"/>
      <c r="J47" s="6"/>
      <c r="K47" s="5"/>
      <c r="L47" s="5"/>
      <c r="M47" s="5"/>
    </row>
    <row r="48" customFormat="false" ht="15" hidden="false" customHeight="false" outlineLevel="0" collapsed="false">
      <c r="A48" s="7" t="str">
        <f aca="false">IF(B48="","",COUNTA($B$5:B48))</f>
        <v/>
      </c>
      <c r="B48" s="8"/>
      <c r="C48" s="8"/>
      <c r="D48" s="8"/>
      <c r="E48" s="8"/>
      <c r="F48" s="8"/>
      <c r="G48" s="9"/>
      <c r="H48" s="8"/>
      <c r="I48" s="9"/>
      <c r="J48" s="9"/>
      <c r="K48" s="8"/>
      <c r="L48" s="8"/>
      <c r="M48" s="8"/>
    </row>
    <row r="49" customFormat="false" ht="15" hidden="false" customHeight="false" outlineLevel="0" collapsed="false">
      <c r="A49" s="4" t="str">
        <f aca="false">IF(B49="","",COUNTA($B$5:B49))</f>
        <v/>
      </c>
      <c r="B49" s="5"/>
      <c r="C49" s="5"/>
      <c r="D49" s="5"/>
      <c r="E49" s="5"/>
      <c r="F49" s="5"/>
      <c r="G49" s="6"/>
      <c r="H49" s="5"/>
      <c r="I49" s="6"/>
      <c r="J49" s="6"/>
      <c r="K49" s="5"/>
      <c r="L49" s="5"/>
      <c r="M49" s="5"/>
    </row>
    <row r="50" customFormat="false" ht="15" hidden="false" customHeight="false" outlineLevel="0" collapsed="false">
      <c r="A50" s="7" t="str">
        <f aca="false">IF(B50="","",COUNTA($B$5:B50))</f>
        <v/>
      </c>
      <c r="B50" s="8"/>
      <c r="C50" s="8"/>
      <c r="D50" s="8"/>
      <c r="E50" s="8"/>
      <c r="F50" s="8"/>
      <c r="G50" s="9"/>
      <c r="H50" s="8"/>
      <c r="I50" s="9"/>
      <c r="J50" s="9"/>
      <c r="K50" s="8"/>
      <c r="L50" s="8"/>
      <c r="M50" s="8"/>
    </row>
    <row r="51" customFormat="false" ht="15" hidden="false" customHeight="false" outlineLevel="0" collapsed="false">
      <c r="A51" s="4" t="str">
        <f aca="false">IF(B51="","",COUNTA($B$5:B51))</f>
        <v/>
      </c>
      <c r="B51" s="5"/>
      <c r="C51" s="5"/>
      <c r="D51" s="5"/>
      <c r="E51" s="5"/>
      <c r="F51" s="5"/>
      <c r="G51" s="6"/>
      <c r="H51" s="5"/>
      <c r="I51" s="6"/>
      <c r="J51" s="6"/>
      <c r="K51" s="5"/>
      <c r="L51" s="5"/>
      <c r="M51" s="5"/>
    </row>
    <row r="52" customFormat="false" ht="15" hidden="false" customHeight="false" outlineLevel="0" collapsed="false">
      <c r="A52" s="7" t="str">
        <f aca="false">IF(B52="","",COUNTA($B$5:B52))</f>
        <v/>
      </c>
      <c r="B52" s="8"/>
      <c r="C52" s="8"/>
      <c r="D52" s="8"/>
      <c r="E52" s="8"/>
      <c r="F52" s="8"/>
      <c r="G52" s="9"/>
      <c r="H52" s="8"/>
      <c r="I52" s="9"/>
      <c r="J52" s="9"/>
      <c r="K52" s="8"/>
      <c r="L52" s="8"/>
      <c r="M52" s="8"/>
    </row>
    <row r="53" customFormat="false" ht="15" hidden="false" customHeight="false" outlineLevel="0" collapsed="false">
      <c r="A53" s="4" t="str">
        <f aca="false">IF(B53="","",COUNTA($B$5:B53))</f>
        <v/>
      </c>
      <c r="B53" s="5"/>
      <c r="C53" s="5"/>
      <c r="D53" s="5"/>
      <c r="E53" s="5"/>
      <c r="F53" s="5"/>
      <c r="G53" s="6"/>
      <c r="H53" s="5"/>
      <c r="I53" s="6"/>
      <c r="J53" s="6"/>
      <c r="K53" s="5"/>
      <c r="L53" s="5"/>
      <c r="M53" s="5"/>
    </row>
    <row r="54" customFormat="false" ht="15" hidden="false" customHeight="false" outlineLevel="0" collapsed="false">
      <c r="A54" s="7" t="str">
        <f aca="false">IF(B54="","",COUNTA($B$5:B54))</f>
        <v/>
      </c>
      <c r="B54" s="8"/>
      <c r="C54" s="8"/>
      <c r="D54" s="8"/>
      <c r="E54" s="8"/>
      <c r="F54" s="8"/>
      <c r="G54" s="9"/>
      <c r="H54" s="8"/>
      <c r="I54" s="9"/>
      <c r="J54" s="9"/>
      <c r="K54" s="8"/>
      <c r="L54" s="8"/>
      <c r="M54" s="8"/>
    </row>
    <row r="55" customFormat="false" ht="15" hidden="false" customHeight="false" outlineLevel="0" collapsed="false">
      <c r="A55" s="4" t="str">
        <f aca="false">IF(B55="","",COUNTA($B$5:B55))</f>
        <v/>
      </c>
      <c r="B55" s="5"/>
      <c r="C55" s="5"/>
      <c r="D55" s="5"/>
      <c r="E55" s="5"/>
      <c r="F55" s="5"/>
      <c r="G55" s="6"/>
      <c r="H55" s="5"/>
      <c r="I55" s="6"/>
      <c r="J55" s="6"/>
      <c r="K55" s="5"/>
      <c r="L55" s="5"/>
      <c r="M55" s="5"/>
    </row>
    <row r="56" customFormat="false" ht="15" hidden="false" customHeight="false" outlineLevel="0" collapsed="false">
      <c r="A56" s="7" t="str">
        <f aca="false">IF(B56="","",COUNTA($B$5:B56))</f>
        <v/>
      </c>
      <c r="B56" s="8"/>
      <c r="C56" s="8"/>
      <c r="D56" s="8"/>
      <c r="E56" s="8"/>
      <c r="F56" s="8"/>
      <c r="G56" s="9"/>
      <c r="H56" s="8"/>
      <c r="I56" s="9"/>
      <c r="J56" s="9"/>
      <c r="K56" s="8"/>
      <c r="L56" s="8"/>
      <c r="M56" s="8"/>
    </row>
    <row r="57" customFormat="false" ht="15" hidden="false" customHeight="false" outlineLevel="0" collapsed="false">
      <c r="A57" s="4" t="str">
        <f aca="false">IF(B57="","",COUNTA($B$5:B57))</f>
        <v/>
      </c>
      <c r="B57" s="5"/>
      <c r="C57" s="5"/>
      <c r="D57" s="5"/>
      <c r="E57" s="5"/>
      <c r="F57" s="5"/>
      <c r="G57" s="6"/>
      <c r="H57" s="5"/>
      <c r="I57" s="6"/>
      <c r="J57" s="6"/>
      <c r="K57" s="5"/>
      <c r="L57" s="5"/>
      <c r="M57" s="5"/>
    </row>
    <row r="58" customFormat="false" ht="15" hidden="false" customHeight="false" outlineLevel="0" collapsed="false">
      <c r="A58" s="7" t="str">
        <f aca="false">IF(B58="","",COUNTA($B$5:B58))</f>
        <v/>
      </c>
      <c r="B58" s="8"/>
      <c r="C58" s="8"/>
      <c r="D58" s="8"/>
      <c r="E58" s="8"/>
      <c r="F58" s="8"/>
      <c r="G58" s="9"/>
      <c r="H58" s="8"/>
      <c r="I58" s="9"/>
      <c r="J58" s="9"/>
      <c r="K58" s="8"/>
      <c r="L58" s="8"/>
      <c r="M58" s="8"/>
    </row>
    <row r="59" customFormat="false" ht="15" hidden="false" customHeight="false" outlineLevel="0" collapsed="false">
      <c r="A59" s="4" t="str">
        <f aca="false">IF(B59="","",COUNTA($B$5:B59))</f>
        <v/>
      </c>
      <c r="B59" s="5"/>
      <c r="C59" s="5"/>
      <c r="D59" s="5"/>
      <c r="E59" s="5"/>
      <c r="F59" s="5"/>
      <c r="G59" s="6"/>
      <c r="H59" s="5"/>
      <c r="I59" s="6"/>
      <c r="J59" s="6"/>
      <c r="K59" s="5"/>
      <c r="L59" s="5"/>
      <c r="M59" s="5"/>
    </row>
    <row r="60" customFormat="false" ht="15" hidden="false" customHeight="false" outlineLevel="0" collapsed="false">
      <c r="A60" s="7" t="str">
        <f aca="false">IF(B60="","",COUNTA($B$5:B60))</f>
        <v/>
      </c>
      <c r="B60" s="8"/>
      <c r="C60" s="8"/>
      <c r="D60" s="8"/>
      <c r="E60" s="8"/>
      <c r="F60" s="8"/>
      <c r="G60" s="9"/>
      <c r="H60" s="8"/>
      <c r="I60" s="9"/>
      <c r="J60" s="9"/>
      <c r="K60" s="8"/>
      <c r="L60" s="8"/>
      <c r="M60" s="8"/>
    </row>
    <row r="61" customFormat="false" ht="15" hidden="false" customHeight="false" outlineLevel="0" collapsed="false">
      <c r="A61" s="4" t="str">
        <f aca="false">IF(B61="","",COUNTA($B$5:B61))</f>
        <v/>
      </c>
      <c r="B61" s="5"/>
      <c r="C61" s="5"/>
      <c r="D61" s="5"/>
      <c r="E61" s="5"/>
      <c r="F61" s="5"/>
      <c r="G61" s="6"/>
      <c r="H61" s="5"/>
      <c r="I61" s="6"/>
      <c r="J61" s="6"/>
      <c r="K61" s="5"/>
      <c r="L61" s="5"/>
      <c r="M61" s="5"/>
    </row>
    <row r="62" customFormat="false" ht="15" hidden="false" customHeight="false" outlineLevel="0" collapsed="false">
      <c r="A62" s="7" t="str">
        <f aca="false">IF(B62="","",COUNTA($B$5:B62))</f>
        <v/>
      </c>
      <c r="B62" s="8"/>
      <c r="C62" s="8"/>
      <c r="D62" s="8"/>
      <c r="E62" s="8"/>
      <c r="F62" s="8"/>
      <c r="G62" s="9"/>
      <c r="H62" s="8"/>
      <c r="I62" s="9"/>
      <c r="J62" s="9"/>
      <c r="K62" s="8"/>
      <c r="L62" s="8"/>
      <c r="M62" s="8"/>
    </row>
    <row r="63" customFormat="false" ht="15" hidden="false" customHeight="false" outlineLevel="0" collapsed="false">
      <c r="A63" s="4" t="str">
        <f aca="false">IF(B63="","",COUNTA($B$5:B63))</f>
        <v/>
      </c>
      <c r="B63" s="5"/>
      <c r="C63" s="5"/>
      <c r="D63" s="5"/>
      <c r="E63" s="5"/>
      <c r="F63" s="5"/>
      <c r="G63" s="6"/>
      <c r="H63" s="5"/>
      <c r="I63" s="6"/>
      <c r="J63" s="6"/>
      <c r="K63" s="5"/>
      <c r="L63" s="5"/>
      <c r="M63" s="5"/>
    </row>
    <row r="64" customFormat="false" ht="15" hidden="false" customHeight="false" outlineLevel="0" collapsed="false">
      <c r="A64" s="7" t="str">
        <f aca="false">IF(B64="","",COUNTA($B$5:B64))</f>
        <v/>
      </c>
      <c r="B64" s="8"/>
      <c r="C64" s="8"/>
      <c r="D64" s="8"/>
      <c r="E64" s="8"/>
      <c r="F64" s="8"/>
      <c r="G64" s="9"/>
      <c r="H64" s="8"/>
      <c r="I64" s="9"/>
      <c r="J64" s="9"/>
      <c r="K64" s="8"/>
      <c r="L64" s="8"/>
      <c r="M64" s="8"/>
    </row>
    <row r="65" customFormat="false" ht="15" hidden="false" customHeight="false" outlineLevel="0" collapsed="false">
      <c r="A65" s="4" t="str">
        <f aca="false">IF(B65="","",COUNTA($B$5:B65))</f>
        <v/>
      </c>
      <c r="B65" s="5"/>
      <c r="C65" s="5"/>
      <c r="D65" s="5"/>
      <c r="E65" s="5"/>
      <c r="F65" s="5"/>
      <c r="G65" s="6"/>
      <c r="H65" s="5"/>
      <c r="I65" s="6"/>
      <c r="J65" s="6"/>
      <c r="K65" s="5"/>
      <c r="L65" s="5"/>
      <c r="M65" s="5"/>
    </row>
    <row r="66" customFormat="false" ht="15" hidden="false" customHeight="false" outlineLevel="0" collapsed="false">
      <c r="A66" s="7" t="str">
        <f aca="false">IF(B66="","",COUNTA($B$5:B66))</f>
        <v/>
      </c>
      <c r="B66" s="8"/>
      <c r="C66" s="8"/>
      <c r="D66" s="8"/>
      <c r="E66" s="8"/>
      <c r="F66" s="8"/>
      <c r="G66" s="9"/>
      <c r="H66" s="8"/>
      <c r="I66" s="9"/>
      <c r="J66" s="9"/>
      <c r="K66" s="8"/>
      <c r="L66" s="8"/>
      <c r="M66" s="8"/>
    </row>
    <row r="67" customFormat="false" ht="15" hidden="false" customHeight="false" outlineLevel="0" collapsed="false">
      <c r="A67" s="4" t="str">
        <f aca="false">IF(B67="","",COUNTA($B$5:B67))</f>
        <v/>
      </c>
      <c r="B67" s="5"/>
      <c r="C67" s="5"/>
      <c r="D67" s="5"/>
      <c r="E67" s="5"/>
      <c r="F67" s="5"/>
      <c r="G67" s="6"/>
      <c r="H67" s="5"/>
      <c r="I67" s="6"/>
      <c r="J67" s="6"/>
      <c r="K67" s="5"/>
      <c r="L67" s="5"/>
      <c r="M67" s="5"/>
    </row>
    <row r="68" customFormat="false" ht="15" hidden="false" customHeight="false" outlineLevel="0" collapsed="false">
      <c r="A68" s="7" t="str">
        <f aca="false">IF(B68="","",COUNTA($B$5:B68))</f>
        <v/>
      </c>
      <c r="B68" s="8"/>
      <c r="C68" s="8"/>
      <c r="D68" s="8"/>
      <c r="E68" s="8"/>
      <c r="F68" s="8"/>
      <c r="G68" s="9"/>
      <c r="H68" s="8"/>
      <c r="I68" s="9"/>
      <c r="J68" s="9"/>
      <c r="K68" s="8"/>
      <c r="L68" s="8"/>
      <c r="M68" s="8"/>
    </row>
    <row r="69" customFormat="false" ht="15" hidden="false" customHeight="false" outlineLevel="0" collapsed="false">
      <c r="A69" s="4" t="str">
        <f aca="false">IF(B69="","",COUNTA($B$5:B69))</f>
        <v/>
      </c>
      <c r="B69" s="5"/>
      <c r="C69" s="5"/>
      <c r="D69" s="5"/>
      <c r="E69" s="5"/>
      <c r="F69" s="5"/>
      <c r="G69" s="6"/>
      <c r="H69" s="5"/>
      <c r="I69" s="6"/>
      <c r="J69" s="6"/>
      <c r="K69" s="5"/>
      <c r="L69" s="5"/>
      <c r="M69" s="5"/>
    </row>
    <row r="70" customFormat="false" ht="15" hidden="false" customHeight="false" outlineLevel="0" collapsed="false">
      <c r="A70" s="7" t="str">
        <f aca="false">IF(B70="","",COUNTA($B$5:B70))</f>
        <v/>
      </c>
      <c r="B70" s="8"/>
      <c r="C70" s="8"/>
      <c r="D70" s="8"/>
      <c r="E70" s="8"/>
      <c r="F70" s="8"/>
      <c r="G70" s="9"/>
      <c r="H70" s="8"/>
      <c r="I70" s="9"/>
      <c r="J70" s="9"/>
      <c r="K70" s="8"/>
      <c r="L70" s="8"/>
      <c r="M70" s="8"/>
    </row>
    <row r="71" customFormat="false" ht="15" hidden="false" customHeight="false" outlineLevel="0" collapsed="false">
      <c r="A71" s="4" t="str">
        <f aca="false">IF(B71="","",COUNTA($B$5:B71))</f>
        <v/>
      </c>
      <c r="B71" s="5"/>
      <c r="C71" s="5"/>
      <c r="D71" s="5"/>
      <c r="E71" s="5"/>
      <c r="F71" s="5"/>
      <c r="G71" s="6"/>
      <c r="H71" s="5"/>
      <c r="I71" s="6"/>
      <c r="J71" s="6"/>
      <c r="K71" s="5"/>
      <c r="L71" s="5"/>
      <c r="M71" s="5"/>
    </row>
    <row r="72" customFormat="false" ht="15" hidden="false" customHeight="false" outlineLevel="0" collapsed="false">
      <c r="A72" s="7" t="str">
        <f aca="false">IF(B72="","",COUNTA($B$5:B72))</f>
        <v/>
      </c>
      <c r="B72" s="8"/>
      <c r="C72" s="8"/>
      <c r="D72" s="8"/>
      <c r="E72" s="8"/>
      <c r="F72" s="8"/>
      <c r="G72" s="9"/>
      <c r="H72" s="8"/>
      <c r="I72" s="9"/>
      <c r="J72" s="9"/>
      <c r="K72" s="8"/>
      <c r="L72" s="8"/>
      <c r="M72" s="8"/>
    </row>
    <row r="73" customFormat="false" ht="15" hidden="false" customHeight="false" outlineLevel="0" collapsed="false">
      <c r="A73" s="4" t="str">
        <f aca="false">IF(B73="","",COUNTA($B$5:B73))</f>
        <v/>
      </c>
      <c r="B73" s="5"/>
      <c r="C73" s="5"/>
      <c r="D73" s="5"/>
      <c r="E73" s="5"/>
      <c r="F73" s="5"/>
      <c r="G73" s="6"/>
      <c r="H73" s="5"/>
      <c r="I73" s="6"/>
      <c r="J73" s="6"/>
      <c r="K73" s="5"/>
      <c r="L73" s="5"/>
      <c r="M73" s="5"/>
    </row>
    <row r="74" customFormat="false" ht="15" hidden="false" customHeight="false" outlineLevel="0" collapsed="false">
      <c r="A74" s="7" t="str">
        <f aca="false">IF(B74="","",COUNTA($B$5:B74))</f>
        <v/>
      </c>
      <c r="B74" s="8"/>
      <c r="C74" s="8"/>
      <c r="D74" s="8"/>
      <c r="E74" s="8"/>
      <c r="F74" s="8"/>
      <c r="G74" s="9"/>
      <c r="H74" s="8"/>
      <c r="I74" s="9"/>
      <c r="J74" s="9"/>
      <c r="K74" s="8"/>
      <c r="L74" s="8"/>
      <c r="M74" s="8"/>
    </row>
    <row r="75" customFormat="false" ht="15" hidden="false" customHeight="false" outlineLevel="0" collapsed="false">
      <c r="A75" s="4" t="str">
        <f aca="false">IF(B75="","",COUNTA($B$5:B75))</f>
        <v/>
      </c>
      <c r="B75" s="5"/>
      <c r="C75" s="5"/>
      <c r="D75" s="5"/>
      <c r="E75" s="5"/>
      <c r="F75" s="5"/>
      <c r="G75" s="6"/>
      <c r="H75" s="5"/>
      <c r="I75" s="6"/>
      <c r="J75" s="6"/>
      <c r="K75" s="5"/>
      <c r="L75" s="5"/>
      <c r="M75" s="5"/>
    </row>
    <row r="76" customFormat="false" ht="15" hidden="false" customHeight="false" outlineLevel="0" collapsed="false">
      <c r="A76" s="7" t="str">
        <f aca="false">IF(B76="","",COUNTA($B$5:B76))</f>
        <v/>
      </c>
      <c r="B76" s="8"/>
      <c r="C76" s="8"/>
      <c r="D76" s="8"/>
      <c r="E76" s="8"/>
      <c r="F76" s="8"/>
      <c r="G76" s="9"/>
      <c r="H76" s="8"/>
      <c r="I76" s="9"/>
      <c r="J76" s="9"/>
      <c r="K76" s="8"/>
      <c r="L76" s="8"/>
      <c r="M76" s="8"/>
    </row>
    <row r="77" customFormat="false" ht="15" hidden="false" customHeight="false" outlineLevel="0" collapsed="false">
      <c r="A77" s="4" t="str">
        <f aca="false">IF(B77="","",COUNTA($B$5:B77))</f>
        <v/>
      </c>
      <c r="B77" s="5"/>
      <c r="C77" s="5"/>
      <c r="D77" s="5"/>
      <c r="E77" s="5"/>
      <c r="F77" s="5"/>
      <c r="G77" s="6"/>
      <c r="H77" s="5"/>
      <c r="I77" s="6"/>
      <c r="J77" s="6"/>
      <c r="K77" s="5"/>
      <c r="L77" s="5"/>
      <c r="M77" s="5"/>
    </row>
    <row r="78" customFormat="false" ht="15" hidden="false" customHeight="false" outlineLevel="0" collapsed="false">
      <c r="A78" s="7" t="str">
        <f aca="false">IF(B78="","",COUNTA($B$5:B78))</f>
        <v/>
      </c>
      <c r="B78" s="8"/>
      <c r="C78" s="8"/>
      <c r="D78" s="8"/>
      <c r="E78" s="8"/>
      <c r="F78" s="8"/>
      <c r="G78" s="9"/>
      <c r="H78" s="8"/>
      <c r="I78" s="9"/>
      <c r="J78" s="9"/>
      <c r="K78" s="8"/>
      <c r="L78" s="8"/>
      <c r="M78" s="8"/>
    </row>
    <row r="79" customFormat="false" ht="15" hidden="false" customHeight="false" outlineLevel="0" collapsed="false">
      <c r="A79" s="4" t="str">
        <f aca="false">IF(B79="","",COUNTA($B$5:B79))</f>
        <v/>
      </c>
      <c r="B79" s="5"/>
      <c r="C79" s="5"/>
      <c r="D79" s="5"/>
      <c r="E79" s="5"/>
      <c r="F79" s="5"/>
      <c r="G79" s="6"/>
      <c r="H79" s="5"/>
      <c r="I79" s="6"/>
      <c r="J79" s="6"/>
      <c r="K79" s="5"/>
      <c r="L79" s="5"/>
      <c r="M79" s="5"/>
    </row>
    <row r="80" customFormat="false" ht="15" hidden="false" customHeight="false" outlineLevel="0" collapsed="false">
      <c r="A80" s="7" t="str">
        <f aca="false">IF(B80="","",COUNTA($B$5:B80))</f>
        <v/>
      </c>
      <c r="B80" s="8"/>
      <c r="C80" s="8"/>
      <c r="D80" s="8"/>
      <c r="E80" s="8"/>
      <c r="F80" s="8"/>
      <c r="G80" s="9"/>
      <c r="H80" s="8"/>
      <c r="I80" s="9"/>
      <c r="J80" s="9"/>
      <c r="K80" s="8"/>
      <c r="L80" s="8"/>
      <c r="M80" s="8"/>
    </row>
    <row r="81" customFormat="false" ht="15" hidden="false" customHeight="false" outlineLevel="0" collapsed="false">
      <c r="A81" s="4" t="str">
        <f aca="false">IF(B81="","",COUNTA($B$5:B81))</f>
        <v/>
      </c>
      <c r="B81" s="5"/>
      <c r="C81" s="5"/>
      <c r="D81" s="5"/>
      <c r="E81" s="5"/>
      <c r="F81" s="5"/>
      <c r="G81" s="6"/>
      <c r="H81" s="5"/>
      <c r="I81" s="6"/>
      <c r="J81" s="6"/>
      <c r="K81" s="5"/>
      <c r="L81" s="5"/>
      <c r="M81" s="5"/>
    </row>
    <row r="82" customFormat="false" ht="15" hidden="false" customHeight="false" outlineLevel="0" collapsed="false">
      <c r="A82" s="7" t="str">
        <f aca="false">IF(B82="","",COUNTA($B$5:B82))</f>
        <v/>
      </c>
      <c r="B82" s="8"/>
      <c r="C82" s="8"/>
      <c r="D82" s="8"/>
      <c r="E82" s="8"/>
      <c r="F82" s="8"/>
      <c r="G82" s="9"/>
      <c r="H82" s="8"/>
      <c r="I82" s="9"/>
      <c r="J82" s="9"/>
      <c r="K82" s="8"/>
      <c r="L82" s="8"/>
      <c r="M82" s="8"/>
    </row>
    <row r="83" customFormat="false" ht="15" hidden="false" customHeight="false" outlineLevel="0" collapsed="false">
      <c r="A83" s="4" t="str">
        <f aca="false">IF(B83="","",COUNTA($B$5:B83))</f>
        <v/>
      </c>
      <c r="B83" s="5"/>
      <c r="C83" s="5"/>
      <c r="D83" s="5"/>
      <c r="E83" s="5"/>
      <c r="F83" s="5"/>
      <c r="G83" s="6"/>
      <c r="H83" s="5"/>
      <c r="I83" s="6"/>
      <c r="J83" s="6"/>
      <c r="K83" s="5"/>
      <c r="L83" s="5"/>
      <c r="M83" s="5"/>
    </row>
    <row r="84" customFormat="false" ht="15" hidden="false" customHeight="false" outlineLevel="0" collapsed="false">
      <c r="A84" s="7" t="str">
        <f aca="false">IF(B84="","",COUNTA($B$5:B84))</f>
        <v/>
      </c>
      <c r="B84" s="8"/>
      <c r="C84" s="8"/>
      <c r="D84" s="8"/>
      <c r="E84" s="8"/>
      <c r="F84" s="8"/>
      <c r="G84" s="9"/>
      <c r="H84" s="8"/>
      <c r="I84" s="9"/>
      <c r="J84" s="9"/>
      <c r="K84" s="8"/>
      <c r="L84" s="8"/>
      <c r="M84" s="8"/>
    </row>
    <row r="85" customFormat="false" ht="15" hidden="false" customHeight="false" outlineLevel="0" collapsed="false">
      <c r="A85" s="4" t="str">
        <f aca="false">IF(B85="","",COUNTA($B$5:B85))</f>
        <v/>
      </c>
      <c r="B85" s="5"/>
      <c r="C85" s="5"/>
      <c r="D85" s="5"/>
      <c r="E85" s="5"/>
      <c r="F85" s="5"/>
      <c r="G85" s="6"/>
      <c r="H85" s="5"/>
      <c r="I85" s="6"/>
      <c r="J85" s="6"/>
      <c r="K85" s="5"/>
      <c r="L85" s="5"/>
      <c r="M85" s="5"/>
    </row>
    <row r="86" customFormat="false" ht="15" hidden="false" customHeight="false" outlineLevel="0" collapsed="false">
      <c r="A86" s="7" t="str">
        <f aca="false">IF(B86="","",COUNTA($B$5:B86))</f>
        <v/>
      </c>
      <c r="B86" s="8"/>
      <c r="C86" s="8"/>
      <c r="D86" s="8"/>
      <c r="E86" s="8"/>
      <c r="F86" s="8"/>
      <c r="G86" s="9"/>
      <c r="H86" s="8"/>
      <c r="I86" s="9"/>
      <c r="J86" s="9"/>
      <c r="K86" s="8"/>
      <c r="L86" s="8"/>
      <c r="M86" s="8"/>
    </row>
    <row r="87" customFormat="false" ht="15" hidden="false" customHeight="false" outlineLevel="0" collapsed="false">
      <c r="A87" s="4" t="str">
        <f aca="false">IF(B87="","",COUNTA($B$5:B87))</f>
        <v/>
      </c>
      <c r="B87" s="5"/>
      <c r="C87" s="5"/>
      <c r="D87" s="5"/>
      <c r="E87" s="5"/>
      <c r="F87" s="5"/>
      <c r="G87" s="6"/>
      <c r="H87" s="5"/>
      <c r="I87" s="6"/>
      <c r="J87" s="6"/>
      <c r="K87" s="5"/>
      <c r="L87" s="5"/>
      <c r="M87" s="5"/>
    </row>
    <row r="88" customFormat="false" ht="15" hidden="false" customHeight="false" outlineLevel="0" collapsed="false">
      <c r="A88" s="7" t="str">
        <f aca="false">IF(B88="","",COUNTA($B$5:B88))</f>
        <v/>
      </c>
      <c r="B88" s="8"/>
      <c r="C88" s="8"/>
      <c r="D88" s="8"/>
      <c r="E88" s="8"/>
      <c r="F88" s="8"/>
      <c r="G88" s="9"/>
      <c r="H88" s="8"/>
      <c r="I88" s="9"/>
      <c r="J88" s="9"/>
      <c r="K88" s="8"/>
      <c r="L88" s="8"/>
      <c r="M88" s="8"/>
    </row>
    <row r="89" customFormat="false" ht="15" hidden="false" customHeight="false" outlineLevel="0" collapsed="false">
      <c r="A89" s="4" t="str">
        <f aca="false">IF(B89="","",COUNTA($B$5:B89))</f>
        <v/>
      </c>
      <c r="B89" s="5"/>
      <c r="C89" s="5"/>
      <c r="D89" s="5"/>
      <c r="E89" s="5"/>
      <c r="F89" s="5"/>
      <c r="G89" s="6"/>
      <c r="H89" s="5"/>
      <c r="I89" s="6"/>
      <c r="J89" s="6"/>
      <c r="K89" s="5"/>
      <c r="L89" s="5"/>
      <c r="M89" s="5"/>
    </row>
    <row r="90" customFormat="false" ht="15" hidden="false" customHeight="false" outlineLevel="0" collapsed="false">
      <c r="A90" s="7" t="str">
        <f aca="false">IF(B90="","",COUNTA($B$5:B90))</f>
        <v/>
      </c>
      <c r="B90" s="8"/>
      <c r="C90" s="8"/>
      <c r="D90" s="8"/>
      <c r="E90" s="8"/>
      <c r="F90" s="8"/>
      <c r="G90" s="9"/>
      <c r="H90" s="8"/>
      <c r="I90" s="9"/>
      <c r="J90" s="9"/>
      <c r="K90" s="8"/>
      <c r="L90" s="8"/>
      <c r="M90" s="8"/>
    </row>
    <row r="91" customFormat="false" ht="15" hidden="false" customHeight="false" outlineLevel="0" collapsed="false">
      <c r="A91" s="4" t="str">
        <f aca="false">IF(B91="","",COUNTA($B$5:B91))</f>
        <v/>
      </c>
      <c r="B91" s="5"/>
      <c r="C91" s="5"/>
      <c r="D91" s="5"/>
      <c r="E91" s="5"/>
      <c r="F91" s="5"/>
      <c r="G91" s="6"/>
      <c r="H91" s="5"/>
      <c r="I91" s="6"/>
      <c r="J91" s="6"/>
      <c r="K91" s="5"/>
      <c r="L91" s="5"/>
      <c r="M91" s="5"/>
    </row>
    <row r="92" customFormat="false" ht="15" hidden="false" customHeight="false" outlineLevel="0" collapsed="false">
      <c r="A92" s="7" t="str">
        <f aca="false">IF(B92="","",COUNTA($B$5:B92))</f>
        <v/>
      </c>
      <c r="B92" s="8"/>
      <c r="C92" s="8"/>
      <c r="D92" s="8"/>
      <c r="E92" s="8"/>
      <c r="F92" s="8"/>
      <c r="G92" s="9"/>
      <c r="H92" s="8"/>
      <c r="I92" s="9"/>
      <c r="J92" s="9"/>
      <c r="K92" s="8"/>
      <c r="L92" s="8"/>
      <c r="M92" s="8"/>
    </row>
    <row r="93" customFormat="false" ht="15" hidden="false" customHeight="false" outlineLevel="0" collapsed="false">
      <c r="A93" s="4" t="str">
        <f aca="false">IF(B93="","",COUNTA($B$5:B93))</f>
        <v/>
      </c>
      <c r="B93" s="5"/>
      <c r="C93" s="5"/>
      <c r="D93" s="5"/>
      <c r="E93" s="5"/>
      <c r="F93" s="5"/>
      <c r="G93" s="6"/>
      <c r="H93" s="5"/>
      <c r="I93" s="6"/>
      <c r="J93" s="6"/>
      <c r="K93" s="5"/>
      <c r="L93" s="5"/>
      <c r="M93" s="5"/>
    </row>
    <row r="94" customFormat="false" ht="15" hidden="false" customHeight="false" outlineLevel="0" collapsed="false">
      <c r="A94" s="7" t="str">
        <f aca="false">IF(B94="","",COUNTA($B$5:B94))</f>
        <v/>
      </c>
      <c r="B94" s="8"/>
      <c r="C94" s="8"/>
      <c r="D94" s="8"/>
      <c r="E94" s="8"/>
      <c r="F94" s="8"/>
      <c r="G94" s="9"/>
      <c r="H94" s="8"/>
      <c r="I94" s="9"/>
      <c r="J94" s="9"/>
      <c r="K94" s="8"/>
      <c r="L94" s="8"/>
      <c r="M94" s="8"/>
    </row>
    <row r="95" customFormat="false" ht="15" hidden="false" customHeight="false" outlineLevel="0" collapsed="false">
      <c r="A95" s="4" t="str">
        <f aca="false">IF(B95="","",COUNTA($B$5:B95))</f>
        <v/>
      </c>
      <c r="B95" s="5"/>
      <c r="C95" s="5"/>
      <c r="D95" s="5"/>
      <c r="E95" s="5"/>
      <c r="F95" s="5"/>
      <c r="G95" s="6"/>
      <c r="H95" s="5"/>
      <c r="I95" s="6"/>
      <c r="J95" s="6"/>
      <c r="K95" s="5"/>
      <c r="L95" s="5"/>
      <c r="M95" s="5"/>
    </row>
    <row r="96" customFormat="false" ht="15" hidden="false" customHeight="false" outlineLevel="0" collapsed="false">
      <c r="A96" s="7" t="str">
        <f aca="false">IF(B96="","",COUNTA($B$5:B96))</f>
        <v/>
      </c>
      <c r="B96" s="8"/>
      <c r="C96" s="8"/>
      <c r="D96" s="8"/>
      <c r="E96" s="8"/>
      <c r="F96" s="8"/>
      <c r="G96" s="9"/>
      <c r="H96" s="8"/>
      <c r="I96" s="9"/>
      <c r="J96" s="9"/>
      <c r="K96" s="8"/>
      <c r="L96" s="8"/>
      <c r="M96" s="8"/>
    </row>
    <row r="97" customFormat="false" ht="15" hidden="false" customHeight="false" outlineLevel="0" collapsed="false">
      <c r="A97" s="4" t="str">
        <f aca="false">IF(B97="","",COUNTA($B$5:B97))</f>
        <v/>
      </c>
      <c r="B97" s="5"/>
      <c r="C97" s="5"/>
      <c r="D97" s="5"/>
      <c r="E97" s="5"/>
      <c r="F97" s="5"/>
      <c r="G97" s="6"/>
      <c r="H97" s="5"/>
      <c r="I97" s="6"/>
      <c r="J97" s="6"/>
      <c r="K97" s="5"/>
      <c r="L97" s="5"/>
      <c r="M97" s="5"/>
    </row>
    <row r="98" customFormat="false" ht="15" hidden="false" customHeight="false" outlineLevel="0" collapsed="false">
      <c r="A98" s="7" t="str">
        <f aca="false">IF(B98="","",COUNTA($B$5:B98))</f>
        <v/>
      </c>
      <c r="B98" s="8"/>
      <c r="C98" s="8"/>
      <c r="D98" s="8"/>
      <c r="E98" s="8"/>
      <c r="F98" s="8"/>
      <c r="G98" s="9"/>
      <c r="H98" s="8"/>
      <c r="I98" s="9"/>
      <c r="J98" s="9"/>
      <c r="K98" s="8"/>
      <c r="L98" s="8"/>
      <c r="M98" s="8"/>
    </row>
    <row r="99" customFormat="false" ht="15" hidden="false" customHeight="false" outlineLevel="0" collapsed="false">
      <c r="A99" s="4" t="str">
        <f aca="false">IF(B99="","",COUNTA($B$5:B99))</f>
        <v/>
      </c>
      <c r="B99" s="5"/>
      <c r="C99" s="5"/>
      <c r="D99" s="5"/>
      <c r="E99" s="5"/>
      <c r="F99" s="5"/>
      <c r="G99" s="6"/>
      <c r="H99" s="5"/>
      <c r="I99" s="6"/>
      <c r="J99" s="6"/>
      <c r="K99" s="5"/>
      <c r="L99" s="5"/>
      <c r="M99" s="5"/>
    </row>
    <row r="100" customFormat="false" ht="15" hidden="false" customHeight="false" outlineLevel="0" collapsed="false">
      <c r="A100" s="7" t="str">
        <f aca="false">IF(B100="","",COUNTA($B$5:B100))</f>
        <v/>
      </c>
      <c r="B100" s="8"/>
      <c r="C100" s="8"/>
      <c r="D100" s="8"/>
      <c r="E100" s="8"/>
      <c r="F100" s="8"/>
      <c r="G100" s="9"/>
      <c r="H100" s="8"/>
      <c r="I100" s="9"/>
      <c r="J100" s="9"/>
      <c r="K100" s="8"/>
      <c r="L100" s="8"/>
      <c r="M100" s="8"/>
    </row>
    <row r="101" customFormat="false" ht="15" hidden="false" customHeight="false" outlineLevel="0" collapsed="false">
      <c r="A101" s="4" t="str">
        <f aca="false">IF(B101="","",COUNTA($B$5:B101))</f>
        <v/>
      </c>
      <c r="B101" s="5"/>
      <c r="C101" s="5"/>
      <c r="D101" s="5"/>
      <c r="E101" s="5"/>
      <c r="F101" s="5"/>
      <c r="G101" s="6"/>
      <c r="H101" s="5"/>
      <c r="I101" s="6"/>
      <c r="J101" s="6"/>
      <c r="K101" s="5"/>
      <c r="L101" s="5"/>
      <c r="M101" s="5"/>
    </row>
    <row r="102" customFormat="false" ht="15" hidden="false" customHeight="false" outlineLevel="0" collapsed="false">
      <c r="A102" s="7" t="str">
        <f aca="false">IF(B102="","",COUNTA($B$5:B102))</f>
        <v/>
      </c>
      <c r="B102" s="8"/>
      <c r="C102" s="8"/>
      <c r="D102" s="8"/>
      <c r="E102" s="8"/>
      <c r="F102" s="8"/>
      <c r="G102" s="9"/>
      <c r="H102" s="8"/>
      <c r="I102" s="9"/>
      <c r="J102" s="9"/>
      <c r="K102" s="8"/>
      <c r="L102" s="8"/>
      <c r="M102" s="8"/>
    </row>
    <row r="103" customFormat="false" ht="15" hidden="false" customHeight="false" outlineLevel="0" collapsed="false">
      <c r="A103" s="4" t="str">
        <f aca="false">IF(B103="","",COUNTA($B$5:B103))</f>
        <v/>
      </c>
      <c r="B103" s="5"/>
      <c r="C103" s="5"/>
      <c r="D103" s="5"/>
      <c r="E103" s="5"/>
      <c r="F103" s="5"/>
      <c r="G103" s="6"/>
      <c r="H103" s="5"/>
      <c r="I103" s="6"/>
      <c r="J103" s="6"/>
      <c r="K103" s="5"/>
      <c r="L103" s="5"/>
      <c r="M103" s="5"/>
    </row>
    <row r="104" customFormat="false" ht="15" hidden="false" customHeight="false" outlineLevel="0" collapsed="false">
      <c r="A104" s="7" t="str">
        <f aca="false">IF(B104="","",COUNTA($B$5:B104))</f>
        <v/>
      </c>
      <c r="B104" s="8"/>
      <c r="C104" s="8"/>
      <c r="D104" s="8"/>
      <c r="E104" s="8"/>
      <c r="F104" s="8"/>
      <c r="G104" s="9"/>
      <c r="H104" s="8"/>
      <c r="I104" s="9"/>
      <c r="J104" s="9"/>
      <c r="K104" s="8"/>
      <c r="L104" s="8"/>
      <c r="M104" s="8"/>
    </row>
    <row r="105" customFormat="false" ht="15" hidden="false" customHeight="false" outlineLevel="0" collapsed="false">
      <c r="A105" s="4" t="str">
        <f aca="false">IF(B105="","",COUNTA($B$5:B105))</f>
        <v/>
      </c>
      <c r="B105" s="5"/>
      <c r="C105" s="5"/>
      <c r="D105" s="5"/>
      <c r="E105" s="5"/>
      <c r="F105" s="5"/>
      <c r="G105" s="6"/>
      <c r="H105" s="5"/>
      <c r="I105" s="6"/>
      <c r="J105" s="6"/>
      <c r="K105" s="5"/>
      <c r="L105" s="5"/>
      <c r="M105" s="5"/>
    </row>
    <row r="106" customFormat="false" ht="15" hidden="false" customHeight="false" outlineLevel="0" collapsed="false">
      <c r="A106" s="7" t="str">
        <f aca="false">IF(B106="","",COUNTA($B$5:B106))</f>
        <v/>
      </c>
      <c r="B106" s="8"/>
      <c r="C106" s="8"/>
      <c r="D106" s="8"/>
      <c r="E106" s="8"/>
      <c r="F106" s="8"/>
      <c r="G106" s="9"/>
      <c r="H106" s="8"/>
      <c r="I106" s="9"/>
      <c r="J106" s="9"/>
      <c r="K106" s="8"/>
      <c r="L106" s="8"/>
      <c r="M106" s="8"/>
    </row>
    <row r="107" customFormat="false" ht="15" hidden="false" customHeight="false" outlineLevel="0" collapsed="false">
      <c r="A107" s="4" t="str">
        <f aca="false">IF(B107="","",COUNTA($B$5:B107))</f>
        <v/>
      </c>
      <c r="B107" s="5"/>
      <c r="C107" s="5"/>
      <c r="D107" s="5"/>
      <c r="E107" s="5"/>
      <c r="F107" s="5"/>
      <c r="G107" s="6"/>
      <c r="H107" s="5"/>
      <c r="I107" s="6"/>
      <c r="J107" s="6"/>
      <c r="K107" s="5"/>
      <c r="L107" s="5"/>
      <c r="M107" s="5"/>
    </row>
    <row r="108" customFormat="false" ht="15" hidden="false" customHeight="false" outlineLevel="0" collapsed="false">
      <c r="A108" s="7" t="str">
        <f aca="false">IF(B108="","",COUNTA($B$5:B108))</f>
        <v/>
      </c>
      <c r="B108" s="8"/>
      <c r="C108" s="8"/>
      <c r="D108" s="8"/>
      <c r="E108" s="8"/>
      <c r="F108" s="8"/>
      <c r="G108" s="9"/>
      <c r="H108" s="8"/>
      <c r="I108" s="9"/>
      <c r="J108" s="9"/>
      <c r="K108" s="8"/>
      <c r="L108" s="8"/>
      <c r="M108" s="8"/>
    </row>
    <row r="109" customFormat="false" ht="15" hidden="false" customHeight="false" outlineLevel="0" collapsed="false">
      <c r="A109" s="4" t="str">
        <f aca="false">IF(B109="","",COUNTA($B$5:B109))</f>
        <v/>
      </c>
      <c r="B109" s="5"/>
      <c r="C109" s="5"/>
      <c r="D109" s="5"/>
      <c r="E109" s="5"/>
      <c r="F109" s="5"/>
      <c r="G109" s="6"/>
      <c r="H109" s="5"/>
      <c r="I109" s="6"/>
      <c r="J109" s="6"/>
      <c r="K109" s="5"/>
      <c r="L109" s="5"/>
      <c r="M109" s="5"/>
    </row>
    <row r="110" customFormat="false" ht="15" hidden="false" customHeight="false" outlineLevel="0" collapsed="false">
      <c r="A110" s="7" t="str">
        <f aca="false">IF(B110="","",COUNTA($B$5:B110))</f>
        <v/>
      </c>
      <c r="B110" s="8"/>
      <c r="C110" s="8"/>
      <c r="D110" s="8"/>
      <c r="E110" s="8"/>
      <c r="F110" s="8"/>
      <c r="G110" s="9"/>
      <c r="H110" s="8"/>
      <c r="I110" s="9"/>
      <c r="J110" s="9"/>
      <c r="K110" s="8"/>
      <c r="L110" s="8"/>
      <c r="M110" s="8"/>
    </row>
    <row r="111" customFormat="false" ht="15" hidden="false" customHeight="false" outlineLevel="0" collapsed="false">
      <c r="A111" s="4" t="str">
        <f aca="false">IF(B111="","",COUNTA($B$5:B111))</f>
        <v/>
      </c>
      <c r="B111" s="5"/>
      <c r="C111" s="5"/>
      <c r="D111" s="5"/>
      <c r="E111" s="5"/>
      <c r="F111" s="5"/>
      <c r="G111" s="6"/>
      <c r="H111" s="5"/>
      <c r="I111" s="6"/>
      <c r="J111" s="6"/>
      <c r="K111" s="5"/>
      <c r="L111" s="5"/>
      <c r="M111" s="5"/>
    </row>
    <row r="112" customFormat="false" ht="15" hidden="false" customHeight="false" outlineLevel="0" collapsed="false">
      <c r="A112" s="7" t="str">
        <f aca="false">IF(B112="","",COUNTA($B$5:B112))</f>
        <v/>
      </c>
      <c r="B112" s="8"/>
      <c r="C112" s="8"/>
      <c r="D112" s="8"/>
      <c r="E112" s="8"/>
      <c r="F112" s="8"/>
      <c r="G112" s="9"/>
      <c r="H112" s="8"/>
      <c r="I112" s="9"/>
      <c r="J112" s="9"/>
      <c r="K112" s="8"/>
      <c r="L112" s="8"/>
      <c r="M112" s="8"/>
    </row>
    <row r="113" customFormat="false" ht="15" hidden="false" customHeight="false" outlineLevel="0" collapsed="false">
      <c r="A113" s="4" t="str">
        <f aca="false">IF(B113="","",COUNTA($B$5:B113))</f>
        <v/>
      </c>
      <c r="B113" s="5"/>
      <c r="C113" s="5"/>
      <c r="D113" s="5"/>
      <c r="E113" s="5"/>
      <c r="F113" s="5"/>
      <c r="G113" s="6"/>
      <c r="H113" s="5"/>
      <c r="I113" s="6"/>
      <c r="J113" s="6"/>
      <c r="K113" s="5"/>
      <c r="L113" s="5"/>
      <c r="M113" s="5"/>
    </row>
    <row r="114" customFormat="false" ht="15" hidden="false" customHeight="false" outlineLevel="0" collapsed="false">
      <c r="A114" s="7" t="str">
        <f aca="false">IF(B114="","",COUNTA($B$5:B114))</f>
        <v/>
      </c>
      <c r="B114" s="8"/>
      <c r="C114" s="8"/>
      <c r="D114" s="8"/>
      <c r="E114" s="8"/>
      <c r="F114" s="8"/>
      <c r="G114" s="9"/>
      <c r="H114" s="8"/>
      <c r="I114" s="9"/>
      <c r="J114" s="9"/>
      <c r="K114" s="8"/>
      <c r="L114" s="8"/>
      <c r="M114" s="8"/>
    </row>
    <row r="115" customFormat="false" ht="15" hidden="false" customHeight="false" outlineLevel="0" collapsed="false">
      <c r="A115" s="4" t="str">
        <f aca="false">IF(B115="","",COUNTA($B$5:B115))</f>
        <v/>
      </c>
      <c r="B115" s="5"/>
      <c r="C115" s="5"/>
      <c r="D115" s="5"/>
      <c r="E115" s="5"/>
      <c r="F115" s="5"/>
      <c r="G115" s="6"/>
      <c r="H115" s="5"/>
      <c r="I115" s="6"/>
      <c r="J115" s="6"/>
      <c r="K115" s="5"/>
      <c r="L115" s="5"/>
      <c r="M115" s="5"/>
    </row>
    <row r="116" customFormat="false" ht="15" hidden="false" customHeight="false" outlineLevel="0" collapsed="false">
      <c r="A116" s="7" t="str">
        <f aca="false">IF(B116="","",COUNTA($B$5:B116))</f>
        <v/>
      </c>
      <c r="B116" s="8"/>
      <c r="C116" s="8"/>
      <c r="D116" s="8"/>
      <c r="E116" s="8"/>
      <c r="F116" s="8"/>
      <c r="G116" s="9"/>
      <c r="H116" s="8"/>
      <c r="I116" s="9"/>
      <c r="J116" s="9"/>
      <c r="K116" s="8"/>
      <c r="L116" s="8"/>
      <c r="M116" s="8"/>
    </row>
    <row r="117" customFormat="false" ht="15" hidden="false" customHeight="false" outlineLevel="0" collapsed="false">
      <c r="A117" s="4" t="str">
        <f aca="false">IF(B117="","",COUNTA($B$5:B117))</f>
        <v/>
      </c>
      <c r="B117" s="5"/>
      <c r="C117" s="5"/>
      <c r="D117" s="5"/>
      <c r="E117" s="5"/>
      <c r="F117" s="5"/>
      <c r="G117" s="6"/>
      <c r="H117" s="5"/>
      <c r="I117" s="6"/>
      <c r="J117" s="6"/>
      <c r="K117" s="5"/>
      <c r="L117" s="5"/>
      <c r="M117" s="5"/>
    </row>
    <row r="118" customFormat="false" ht="15" hidden="false" customHeight="false" outlineLevel="0" collapsed="false">
      <c r="A118" s="7" t="str">
        <f aca="false">IF(B118="","",COUNTA($B$5:B118))</f>
        <v/>
      </c>
      <c r="B118" s="8"/>
      <c r="C118" s="8"/>
      <c r="D118" s="8"/>
      <c r="E118" s="8"/>
      <c r="F118" s="8"/>
      <c r="G118" s="9"/>
      <c r="H118" s="8"/>
      <c r="I118" s="9"/>
      <c r="J118" s="9"/>
      <c r="K118" s="8"/>
      <c r="L118" s="8"/>
      <c r="M118" s="8"/>
    </row>
    <row r="119" customFormat="false" ht="15" hidden="false" customHeight="false" outlineLevel="0" collapsed="false">
      <c r="A119" s="4" t="str">
        <f aca="false">IF(B119="","",COUNTA($B$5:B119))</f>
        <v/>
      </c>
      <c r="B119" s="5"/>
      <c r="C119" s="5"/>
      <c r="D119" s="5"/>
      <c r="E119" s="5"/>
      <c r="F119" s="5"/>
      <c r="G119" s="6"/>
      <c r="H119" s="5"/>
      <c r="I119" s="6"/>
      <c r="J119" s="6"/>
      <c r="K119" s="5"/>
      <c r="L119" s="5"/>
      <c r="M119" s="5"/>
    </row>
    <row r="120" customFormat="false" ht="15" hidden="false" customHeight="false" outlineLevel="0" collapsed="false">
      <c r="A120" s="7" t="str">
        <f aca="false">IF(B120="","",COUNTA($B$5:B120))</f>
        <v/>
      </c>
      <c r="B120" s="8"/>
      <c r="C120" s="8"/>
      <c r="D120" s="8"/>
      <c r="E120" s="8"/>
      <c r="F120" s="8"/>
      <c r="G120" s="9"/>
      <c r="H120" s="8"/>
      <c r="I120" s="9"/>
      <c r="J120" s="9"/>
      <c r="K120" s="8"/>
      <c r="L120" s="8"/>
      <c r="M120" s="8"/>
    </row>
    <row r="121" customFormat="false" ht="15" hidden="false" customHeight="false" outlineLevel="0" collapsed="false">
      <c r="A121" s="4" t="str">
        <f aca="false">IF(B121="","",COUNTA($B$5:B121))</f>
        <v/>
      </c>
      <c r="B121" s="5"/>
      <c r="C121" s="5"/>
      <c r="D121" s="5"/>
      <c r="E121" s="5"/>
      <c r="F121" s="5"/>
      <c r="G121" s="6"/>
      <c r="H121" s="5"/>
      <c r="I121" s="6"/>
      <c r="J121" s="6"/>
      <c r="K121" s="5"/>
      <c r="L121" s="5"/>
      <c r="M121" s="5"/>
    </row>
    <row r="122" customFormat="false" ht="15" hidden="false" customHeight="false" outlineLevel="0" collapsed="false">
      <c r="A122" s="7" t="str">
        <f aca="false">IF(B122="","",COUNTA($B$5:B122))</f>
        <v/>
      </c>
      <c r="B122" s="8"/>
      <c r="C122" s="8"/>
      <c r="D122" s="8"/>
      <c r="E122" s="8"/>
      <c r="F122" s="8"/>
      <c r="G122" s="9"/>
      <c r="H122" s="8"/>
      <c r="I122" s="9"/>
      <c r="J122" s="9"/>
      <c r="K122" s="8"/>
      <c r="L122" s="8"/>
      <c r="M122" s="8"/>
    </row>
    <row r="123" customFormat="false" ht="15" hidden="false" customHeight="false" outlineLevel="0" collapsed="false">
      <c r="A123" s="4" t="str">
        <f aca="false">IF(B123="","",COUNTA($B$5:B123))</f>
        <v/>
      </c>
      <c r="B123" s="5"/>
      <c r="C123" s="5"/>
      <c r="D123" s="5"/>
      <c r="E123" s="5"/>
      <c r="F123" s="5"/>
      <c r="G123" s="6"/>
      <c r="H123" s="5"/>
      <c r="I123" s="6"/>
      <c r="J123" s="6"/>
      <c r="K123" s="5"/>
      <c r="L123" s="5"/>
      <c r="M123" s="5"/>
    </row>
    <row r="124" customFormat="false" ht="15" hidden="false" customHeight="false" outlineLevel="0" collapsed="false">
      <c r="A124" s="7" t="str">
        <f aca="false">IF(B124="","",COUNTA($B$5:B124))</f>
        <v/>
      </c>
      <c r="B124" s="8"/>
      <c r="C124" s="8"/>
      <c r="D124" s="8"/>
      <c r="E124" s="8"/>
      <c r="F124" s="8"/>
      <c r="G124" s="9"/>
      <c r="H124" s="8"/>
      <c r="I124" s="9"/>
      <c r="J124" s="9"/>
      <c r="K124" s="8"/>
      <c r="L124" s="8"/>
      <c r="M124" s="8"/>
    </row>
    <row r="125" customFormat="false" ht="15" hidden="false" customHeight="false" outlineLevel="0" collapsed="false">
      <c r="A125" s="4" t="str">
        <f aca="false">IF(B125="","",COUNTA($B$5:B125))</f>
        <v/>
      </c>
      <c r="B125" s="5"/>
      <c r="C125" s="5"/>
      <c r="D125" s="5"/>
      <c r="E125" s="5"/>
      <c r="F125" s="5"/>
      <c r="G125" s="6"/>
      <c r="H125" s="5"/>
      <c r="I125" s="6"/>
      <c r="J125" s="6"/>
      <c r="K125" s="5"/>
      <c r="L125" s="5"/>
      <c r="M125" s="5"/>
    </row>
    <row r="126" customFormat="false" ht="15" hidden="false" customHeight="false" outlineLevel="0" collapsed="false">
      <c r="A126" s="7" t="str">
        <f aca="false">IF(B126="","",COUNTA($B$5:B126))</f>
        <v/>
      </c>
      <c r="B126" s="8"/>
      <c r="C126" s="8"/>
      <c r="D126" s="8"/>
      <c r="E126" s="8"/>
      <c r="F126" s="8"/>
      <c r="G126" s="9"/>
      <c r="H126" s="8"/>
      <c r="I126" s="9"/>
      <c r="J126" s="9"/>
      <c r="K126" s="8"/>
      <c r="L126" s="8"/>
      <c r="M126" s="8"/>
    </row>
    <row r="127" customFormat="false" ht="15" hidden="false" customHeight="false" outlineLevel="0" collapsed="false">
      <c r="A127" s="4" t="str">
        <f aca="false">IF(B127="","",COUNTA($B$5:B127))</f>
        <v/>
      </c>
      <c r="B127" s="5"/>
      <c r="C127" s="5"/>
      <c r="D127" s="5"/>
      <c r="E127" s="5"/>
      <c r="F127" s="5"/>
      <c r="G127" s="6"/>
      <c r="H127" s="5"/>
      <c r="I127" s="6"/>
      <c r="J127" s="6"/>
      <c r="K127" s="5"/>
      <c r="L127" s="5"/>
      <c r="M127" s="5"/>
    </row>
    <row r="128" customFormat="false" ht="15" hidden="false" customHeight="false" outlineLevel="0" collapsed="false">
      <c r="A128" s="7" t="str">
        <f aca="false">IF(B128="","",COUNTA($B$5:B128))</f>
        <v/>
      </c>
      <c r="B128" s="8"/>
      <c r="C128" s="8"/>
      <c r="D128" s="8"/>
      <c r="E128" s="8"/>
      <c r="F128" s="8"/>
      <c r="G128" s="9"/>
      <c r="H128" s="8"/>
      <c r="I128" s="9"/>
      <c r="J128" s="9"/>
      <c r="K128" s="8"/>
      <c r="L128" s="8"/>
      <c r="M128" s="8"/>
    </row>
    <row r="129" customFormat="false" ht="15" hidden="false" customHeight="false" outlineLevel="0" collapsed="false">
      <c r="A129" s="4" t="str">
        <f aca="false">IF(B129="","",COUNTA($B$5:B129))</f>
        <v/>
      </c>
      <c r="B129" s="5"/>
      <c r="C129" s="5"/>
      <c r="D129" s="5"/>
      <c r="E129" s="5"/>
      <c r="F129" s="5"/>
      <c r="G129" s="6"/>
      <c r="H129" s="5"/>
      <c r="I129" s="6"/>
      <c r="J129" s="6"/>
      <c r="K129" s="5"/>
      <c r="L129" s="5"/>
      <c r="M129" s="5"/>
    </row>
    <row r="130" customFormat="false" ht="15" hidden="false" customHeight="false" outlineLevel="0" collapsed="false">
      <c r="A130" s="7" t="str">
        <f aca="false">IF(B130="","",COUNTA($B$5:B130))</f>
        <v/>
      </c>
      <c r="B130" s="8"/>
      <c r="C130" s="8"/>
      <c r="D130" s="8"/>
      <c r="E130" s="8"/>
      <c r="F130" s="8"/>
      <c r="G130" s="9"/>
      <c r="H130" s="8"/>
      <c r="I130" s="9"/>
      <c r="J130" s="9"/>
      <c r="K130" s="8"/>
      <c r="L130" s="8"/>
      <c r="M130" s="8"/>
    </row>
    <row r="131" customFormat="false" ht="15" hidden="false" customHeight="false" outlineLevel="0" collapsed="false">
      <c r="A131" s="4" t="str">
        <f aca="false">IF(B131="","",COUNTA($B$5:B131))</f>
        <v/>
      </c>
      <c r="B131" s="5"/>
      <c r="C131" s="5"/>
      <c r="D131" s="5"/>
      <c r="E131" s="5"/>
      <c r="F131" s="5"/>
      <c r="G131" s="6"/>
      <c r="H131" s="5"/>
      <c r="I131" s="6"/>
      <c r="J131" s="6"/>
      <c r="K131" s="5"/>
      <c r="L131" s="5"/>
      <c r="M131" s="5"/>
    </row>
    <row r="132" customFormat="false" ht="15" hidden="false" customHeight="false" outlineLevel="0" collapsed="false">
      <c r="A132" s="7" t="str">
        <f aca="false">IF(B132="","",COUNTA($B$5:B132))</f>
        <v/>
      </c>
      <c r="B132" s="8"/>
      <c r="C132" s="8"/>
      <c r="D132" s="8"/>
      <c r="E132" s="8"/>
      <c r="F132" s="8"/>
      <c r="G132" s="9"/>
      <c r="H132" s="8"/>
      <c r="I132" s="9"/>
      <c r="J132" s="9"/>
      <c r="K132" s="8"/>
      <c r="L132" s="8"/>
      <c r="M132" s="8"/>
    </row>
    <row r="133" customFormat="false" ht="15" hidden="false" customHeight="false" outlineLevel="0" collapsed="false">
      <c r="A133" s="4" t="str">
        <f aca="false">IF(B133="","",COUNTA($B$5:B133))</f>
        <v/>
      </c>
      <c r="B133" s="5"/>
      <c r="C133" s="5"/>
      <c r="D133" s="5"/>
      <c r="E133" s="5"/>
      <c r="F133" s="5"/>
      <c r="G133" s="6"/>
      <c r="H133" s="5"/>
      <c r="I133" s="6"/>
      <c r="J133" s="6"/>
      <c r="K133" s="5"/>
      <c r="L133" s="5"/>
      <c r="M133" s="5"/>
    </row>
    <row r="134" customFormat="false" ht="15" hidden="false" customHeight="false" outlineLevel="0" collapsed="false">
      <c r="A134" s="7" t="str">
        <f aca="false">IF(B134="","",COUNTA($B$5:B134))</f>
        <v/>
      </c>
      <c r="B134" s="8"/>
      <c r="C134" s="8"/>
      <c r="D134" s="8"/>
      <c r="E134" s="8"/>
      <c r="F134" s="8"/>
      <c r="G134" s="9"/>
      <c r="H134" s="8"/>
      <c r="I134" s="9"/>
      <c r="J134" s="9"/>
      <c r="K134" s="8"/>
      <c r="L134" s="8"/>
      <c r="M134" s="8"/>
    </row>
    <row r="135" customFormat="false" ht="15" hidden="false" customHeight="false" outlineLevel="0" collapsed="false">
      <c r="A135" s="4" t="str">
        <f aca="false">IF(B135="","",COUNTA($B$5:B135))</f>
        <v/>
      </c>
      <c r="B135" s="5"/>
      <c r="C135" s="5"/>
      <c r="D135" s="5"/>
      <c r="E135" s="5"/>
      <c r="F135" s="5"/>
      <c r="G135" s="6"/>
      <c r="H135" s="5"/>
      <c r="I135" s="6"/>
      <c r="J135" s="6"/>
      <c r="K135" s="5"/>
      <c r="L135" s="5"/>
      <c r="M135" s="5"/>
    </row>
    <row r="136" customFormat="false" ht="15" hidden="false" customHeight="false" outlineLevel="0" collapsed="false">
      <c r="A136" s="7" t="str">
        <f aca="false">IF(B136="","",COUNTA($B$5:B136))</f>
        <v/>
      </c>
      <c r="B136" s="8"/>
      <c r="C136" s="8"/>
      <c r="D136" s="8"/>
      <c r="E136" s="8"/>
      <c r="F136" s="8"/>
      <c r="G136" s="9"/>
      <c r="H136" s="8"/>
      <c r="I136" s="9"/>
      <c r="J136" s="9"/>
      <c r="K136" s="8"/>
      <c r="L136" s="8"/>
      <c r="M136" s="8"/>
    </row>
    <row r="137" customFormat="false" ht="15" hidden="false" customHeight="false" outlineLevel="0" collapsed="false">
      <c r="A137" s="4" t="str">
        <f aca="false">IF(B137="","",COUNTA($B$5:B137))</f>
        <v/>
      </c>
      <c r="B137" s="5"/>
      <c r="C137" s="5"/>
      <c r="D137" s="5"/>
      <c r="E137" s="5"/>
      <c r="F137" s="5"/>
      <c r="G137" s="6"/>
      <c r="H137" s="5"/>
      <c r="I137" s="6"/>
      <c r="J137" s="6"/>
      <c r="K137" s="5"/>
      <c r="L137" s="5"/>
      <c r="M137" s="5"/>
    </row>
    <row r="138" customFormat="false" ht="15" hidden="false" customHeight="false" outlineLevel="0" collapsed="false">
      <c r="A138" s="7" t="str">
        <f aca="false">IF(B138="","",COUNTA($B$5:B138))</f>
        <v/>
      </c>
      <c r="B138" s="8"/>
      <c r="C138" s="8"/>
      <c r="D138" s="8"/>
      <c r="E138" s="8"/>
      <c r="F138" s="8"/>
      <c r="G138" s="9"/>
      <c r="H138" s="8"/>
      <c r="I138" s="9"/>
      <c r="J138" s="9"/>
      <c r="K138" s="8"/>
      <c r="L138" s="8"/>
      <c r="M138" s="8"/>
    </row>
    <row r="139" customFormat="false" ht="15" hidden="false" customHeight="false" outlineLevel="0" collapsed="false">
      <c r="A139" s="4" t="str">
        <f aca="false">IF(B139="","",COUNTA($B$5:B139))</f>
        <v/>
      </c>
      <c r="B139" s="5"/>
      <c r="C139" s="5"/>
      <c r="D139" s="5"/>
      <c r="E139" s="5"/>
      <c r="F139" s="5"/>
      <c r="G139" s="6"/>
      <c r="H139" s="5"/>
      <c r="I139" s="6"/>
      <c r="J139" s="6"/>
      <c r="K139" s="5"/>
      <c r="L139" s="5"/>
      <c r="M139" s="5"/>
    </row>
    <row r="140" customFormat="false" ht="15" hidden="false" customHeight="false" outlineLevel="0" collapsed="false">
      <c r="A140" s="7" t="str">
        <f aca="false">IF(B140="","",COUNTA($B$5:B140))</f>
        <v/>
      </c>
      <c r="B140" s="8"/>
      <c r="C140" s="8"/>
      <c r="D140" s="8"/>
      <c r="E140" s="8"/>
      <c r="F140" s="8"/>
      <c r="G140" s="9"/>
      <c r="H140" s="8"/>
      <c r="I140" s="9"/>
      <c r="J140" s="9"/>
      <c r="K140" s="8"/>
      <c r="L140" s="8"/>
      <c r="M140" s="8"/>
    </row>
    <row r="141" customFormat="false" ht="15" hidden="false" customHeight="false" outlineLevel="0" collapsed="false">
      <c r="A141" s="4" t="str">
        <f aca="false">IF(B141="","",COUNTA($B$5:B141))</f>
        <v/>
      </c>
      <c r="B141" s="5"/>
      <c r="C141" s="5"/>
      <c r="D141" s="5"/>
      <c r="E141" s="5"/>
      <c r="F141" s="5"/>
      <c r="G141" s="6"/>
      <c r="H141" s="5"/>
      <c r="I141" s="6"/>
      <c r="J141" s="6"/>
      <c r="K141" s="5"/>
      <c r="L141" s="5"/>
      <c r="M141" s="5"/>
    </row>
    <row r="142" customFormat="false" ht="15" hidden="false" customHeight="false" outlineLevel="0" collapsed="false">
      <c r="A142" s="7" t="str">
        <f aca="false">IF(B142="","",COUNTA($B$5:B142))</f>
        <v/>
      </c>
      <c r="B142" s="8"/>
      <c r="C142" s="8"/>
      <c r="D142" s="8"/>
      <c r="E142" s="8"/>
      <c r="F142" s="8"/>
      <c r="G142" s="9"/>
      <c r="H142" s="8"/>
      <c r="I142" s="9"/>
      <c r="J142" s="9"/>
      <c r="K142" s="8"/>
      <c r="L142" s="8"/>
      <c r="M142" s="8"/>
    </row>
    <row r="143" customFormat="false" ht="15" hidden="false" customHeight="false" outlineLevel="0" collapsed="false">
      <c r="A143" s="4" t="str">
        <f aca="false">IF(B143="","",COUNTA($B$5:B143))</f>
        <v/>
      </c>
      <c r="B143" s="5"/>
      <c r="C143" s="5"/>
      <c r="D143" s="5"/>
      <c r="E143" s="5"/>
      <c r="F143" s="5"/>
      <c r="G143" s="6"/>
      <c r="H143" s="5"/>
      <c r="I143" s="6"/>
      <c r="J143" s="6"/>
      <c r="K143" s="5"/>
      <c r="L143" s="5"/>
      <c r="M143" s="5"/>
    </row>
    <row r="144" customFormat="false" ht="15" hidden="false" customHeight="false" outlineLevel="0" collapsed="false">
      <c r="A144" s="7" t="str">
        <f aca="false">IF(B144="","",COUNTA($B$5:B144))</f>
        <v/>
      </c>
      <c r="B144" s="8"/>
      <c r="C144" s="8"/>
      <c r="D144" s="8"/>
      <c r="E144" s="8"/>
      <c r="F144" s="8"/>
      <c r="G144" s="9"/>
      <c r="H144" s="8"/>
      <c r="I144" s="9"/>
      <c r="J144" s="9"/>
      <c r="K144" s="8"/>
      <c r="L144" s="8"/>
      <c r="M144" s="8"/>
    </row>
    <row r="145" customFormat="false" ht="15" hidden="false" customHeight="false" outlineLevel="0" collapsed="false">
      <c r="A145" s="4" t="str">
        <f aca="false">IF(B145="","",COUNTA($B$5:B145))</f>
        <v/>
      </c>
      <c r="B145" s="5"/>
      <c r="C145" s="5"/>
      <c r="D145" s="5"/>
      <c r="E145" s="5"/>
      <c r="F145" s="5"/>
      <c r="G145" s="6"/>
      <c r="H145" s="5"/>
      <c r="I145" s="6"/>
      <c r="J145" s="6"/>
      <c r="K145" s="5"/>
      <c r="L145" s="5"/>
      <c r="M145" s="5"/>
    </row>
    <row r="146" customFormat="false" ht="15" hidden="false" customHeight="false" outlineLevel="0" collapsed="false">
      <c r="A146" s="7" t="str">
        <f aca="false">IF(B146="","",COUNTA($B$5:B146))</f>
        <v/>
      </c>
      <c r="B146" s="8"/>
      <c r="C146" s="8"/>
      <c r="D146" s="8"/>
      <c r="E146" s="8"/>
      <c r="F146" s="8"/>
      <c r="G146" s="9"/>
      <c r="H146" s="8"/>
      <c r="I146" s="9"/>
      <c r="J146" s="9"/>
      <c r="K146" s="8"/>
      <c r="L146" s="8"/>
      <c r="M146" s="8"/>
    </row>
    <row r="147" customFormat="false" ht="15" hidden="false" customHeight="false" outlineLevel="0" collapsed="false">
      <c r="A147" s="4" t="str">
        <f aca="false">IF(B147="","",COUNTA($B$5:B147))</f>
        <v/>
      </c>
      <c r="B147" s="5"/>
      <c r="C147" s="5"/>
      <c r="D147" s="5"/>
      <c r="E147" s="5"/>
      <c r="F147" s="5"/>
      <c r="G147" s="6"/>
      <c r="H147" s="5"/>
      <c r="I147" s="6"/>
      <c r="J147" s="6"/>
      <c r="K147" s="5"/>
      <c r="L147" s="5"/>
      <c r="M147" s="5"/>
    </row>
    <row r="148" customFormat="false" ht="15" hidden="false" customHeight="false" outlineLevel="0" collapsed="false">
      <c r="A148" s="7" t="str">
        <f aca="false">IF(B148="","",COUNTA($B$5:B148))</f>
        <v/>
      </c>
      <c r="B148" s="8"/>
      <c r="C148" s="8"/>
      <c r="D148" s="8"/>
      <c r="E148" s="8"/>
      <c r="F148" s="8"/>
      <c r="G148" s="9"/>
      <c r="H148" s="8"/>
      <c r="I148" s="9"/>
      <c r="J148" s="9"/>
      <c r="K148" s="8"/>
      <c r="L148" s="8"/>
      <c r="M148" s="8"/>
    </row>
    <row r="149" customFormat="false" ht="15" hidden="false" customHeight="false" outlineLevel="0" collapsed="false">
      <c r="A149" s="4" t="str">
        <f aca="false">IF(B149="","",COUNTA($B$5:B149))</f>
        <v/>
      </c>
      <c r="B149" s="5"/>
      <c r="C149" s="5"/>
      <c r="D149" s="5"/>
      <c r="E149" s="5"/>
      <c r="F149" s="5"/>
      <c r="G149" s="6"/>
      <c r="H149" s="5"/>
      <c r="I149" s="6"/>
      <c r="J149" s="6"/>
      <c r="K149" s="5"/>
      <c r="L149" s="5"/>
      <c r="M149" s="5"/>
    </row>
    <row r="150" customFormat="false" ht="15" hidden="false" customHeight="false" outlineLevel="0" collapsed="false">
      <c r="A150" s="7" t="str">
        <f aca="false">IF(B150="","",COUNTA($B$5:B150))</f>
        <v/>
      </c>
      <c r="B150" s="8"/>
      <c r="C150" s="8"/>
      <c r="D150" s="8"/>
      <c r="E150" s="8"/>
      <c r="F150" s="8"/>
      <c r="G150" s="9"/>
      <c r="H150" s="8"/>
      <c r="I150" s="9"/>
      <c r="J150" s="9"/>
      <c r="K150" s="8"/>
      <c r="L150" s="8"/>
      <c r="M150" s="8"/>
    </row>
    <row r="151" customFormat="false" ht="15" hidden="false" customHeight="false" outlineLevel="0" collapsed="false">
      <c r="A151" s="4" t="str">
        <f aca="false">IF(B151="","",COUNTA($B$5:B151))</f>
        <v/>
      </c>
      <c r="B151" s="5"/>
      <c r="C151" s="5"/>
      <c r="D151" s="5"/>
      <c r="E151" s="5"/>
      <c r="F151" s="5"/>
      <c r="G151" s="6"/>
      <c r="H151" s="5"/>
      <c r="I151" s="6"/>
      <c r="J151" s="6"/>
      <c r="K151" s="5"/>
      <c r="L151" s="5"/>
      <c r="M151" s="5"/>
    </row>
    <row r="152" customFormat="false" ht="15" hidden="false" customHeight="false" outlineLevel="0" collapsed="false">
      <c r="A152" s="7" t="str">
        <f aca="false">IF(B152="","",COUNTA($B$5:B152))</f>
        <v/>
      </c>
      <c r="B152" s="8"/>
      <c r="C152" s="8"/>
      <c r="D152" s="8"/>
      <c r="E152" s="8"/>
      <c r="F152" s="8"/>
      <c r="G152" s="9"/>
      <c r="H152" s="8"/>
      <c r="I152" s="9"/>
      <c r="J152" s="9"/>
      <c r="K152" s="8"/>
      <c r="L152" s="8"/>
      <c r="M152" s="8"/>
    </row>
    <row r="153" customFormat="false" ht="15" hidden="false" customHeight="false" outlineLevel="0" collapsed="false">
      <c r="A153" s="4" t="str">
        <f aca="false">IF(B153="","",COUNTA($B$5:B153))</f>
        <v/>
      </c>
      <c r="B153" s="5"/>
      <c r="C153" s="5"/>
      <c r="D153" s="5"/>
      <c r="E153" s="5"/>
      <c r="F153" s="5"/>
      <c r="G153" s="6"/>
      <c r="H153" s="5"/>
      <c r="I153" s="6"/>
      <c r="J153" s="6"/>
      <c r="K153" s="5"/>
      <c r="L153" s="5"/>
      <c r="M153" s="5"/>
    </row>
    <row r="154" customFormat="false" ht="15" hidden="false" customHeight="false" outlineLevel="0" collapsed="false">
      <c r="A154" s="7" t="str">
        <f aca="false">IF(B154="","",COUNTA($B$5:B154))</f>
        <v/>
      </c>
      <c r="B154" s="8"/>
      <c r="C154" s="8"/>
      <c r="D154" s="8"/>
      <c r="E154" s="8"/>
      <c r="F154" s="8"/>
      <c r="G154" s="9"/>
      <c r="H154" s="8"/>
      <c r="I154" s="9"/>
      <c r="J154" s="9"/>
      <c r="K154" s="8"/>
      <c r="L154" s="8"/>
      <c r="M154" s="8"/>
    </row>
  </sheetData>
  <autoFilter ref="A4:M154"/>
  <mergeCells count="2">
    <mergeCell ref="A1:M1"/>
    <mergeCell ref="A2:M2"/>
  </mergeCells>
  <conditionalFormatting sqref="I5:I154">
    <cfRule type="cellIs" priority="2" operator="equal" aboveAverage="0" equalAverage="0" bottom="0" percent="0" rank="0" text="" dxfId="10">
      <formula>"Alta"</formula>
    </cfRule>
    <cfRule type="cellIs" priority="3" operator="equal" aboveAverage="0" equalAverage="0" bottom="0" percent="0" rank="0" text="" dxfId="11">
      <formula>"Média"</formula>
    </cfRule>
    <cfRule type="cellIs" priority="4" operator="equal" aboveAverage="0" equalAverage="0" bottom="0" percent="0" rank="0" text="" dxfId="12">
      <formula>"Baixa"</formula>
    </cfRule>
  </conditionalFormatting>
  <dataValidations count="7">
    <dataValidation allowBlank="true" error="Escolha um valor da lista." errorStyle="stop" errorTitle="Valor inválido" operator="between" showDropDown="false" showErrorMessage="true" showInputMessage="false" sqref="B5:B154" type="list">
      <formula1>Listas!$A$2:$A$10</formula1>
      <formula2>0</formula2>
    </dataValidation>
    <dataValidation allowBlank="true" error="Escolha um valor da lista." errorStyle="stop" errorTitle="Valor inválido" operator="between" showDropDown="false" showErrorMessage="false" showInputMessage="false" sqref="D5:D154" type="list">
      <formula1>Listas!$B$2:$B$8</formula1>
      <formula2>0</formula2>
    </dataValidation>
    <dataValidation allowBlank="true" error="Escolha um valor da lista." errorStyle="stop" errorTitle="Valor inválido" operator="between" showDropDown="false" showErrorMessage="true" showInputMessage="false" sqref="H5:H154" type="list">
      <formula1>Listas!$C$2:$C$10</formula1>
      <formula2>0</formula2>
    </dataValidation>
    <dataValidation allowBlank="true" error="Escolha um valor da lista." errorStyle="stop" errorTitle="Valor inválido" operator="between" showDropDown="false" showErrorMessage="true" showInputMessage="false" sqref="I5:I154" type="list">
      <formula1>Listas!$D$2:$D$4</formula1>
      <formula2>0</formula2>
    </dataValidation>
    <dataValidation allowBlank="true" error="Escolha um valor da lista." errorStyle="stop" errorTitle="Valor inválido" operator="between" showDropDown="false" showErrorMessage="true" showInputMessage="false" sqref="J5:J154" type="list">
      <formula1>Listas!$E$2:$E$3</formula1>
      <formula2>0</formula2>
    </dataValidation>
    <dataValidation allowBlank="true" error="Escolha um valor da lista." errorStyle="stop" errorTitle="Valor inválido" operator="between" showDropDown="false" showErrorMessage="true" showInputMessage="false" sqref="L5:L154" type="list">
      <formula1>Listas!$F$2:$F$4</formula1>
      <formula2>0</formula2>
    </dataValidation>
    <dataValidation allowBlank="true" errorStyle="stop" operator="greaterThanOrEqual" showDropDown="false" showErrorMessage="false" showInputMessage="false" sqref="G5:G154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18"/>
  </cols>
  <sheetData>
    <row r="1" customFormat="false" ht="30" hidden="false" customHeight="true" outlineLevel="0" collapsed="false">
      <c r="A1" s="1" t="s">
        <v>237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0" t="s">
        <v>238</v>
      </c>
    </row>
    <row r="4" customFormat="false" ht="26.85" hidden="false" customHeight="false" outlineLevel="0" collapsed="false">
      <c r="A4" s="3" t="s">
        <v>3</v>
      </c>
      <c r="B4" s="3" t="s">
        <v>21</v>
      </c>
      <c r="C4" s="3" t="s">
        <v>43</v>
      </c>
      <c r="D4" s="3" t="s">
        <v>55</v>
      </c>
      <c r="E4" s="3" t="s">
        <v>239</v>
      </c>
      <c r="F4" s="3" t="s">
        <v>240</v>
      </c>
    </row>
    <row r="5" customFormat="false" ht="15" hidden="false" customHeight="false" outlineLevel="0" collapsed="false">
      <c r="A5" s="11" t="s">
        <v>167</v>
      </c>
      <c r="B5" s="12" t="n">
        <f aca="false">COUNTIFS(Problemas!$B$5:$B$154,$A5,Problemas!$I$5:$I$154,"Alta")</f>
        <v>3</v>
      </c>
      <c r="C5" s="12" t="n">
        <f aca="false">COUNTIFS(Problemas!$B$5:$B$154,$A5,Problemas!$I$5:$I$154,"Média")</f>
        <v>2</v>
      </c>
      <c r="D5" s="12" t="n">
        <f aca="false">COUNTIFS(Problemas!$B$5:$B$154,$A5,Problemas!$I$5:$I$154,"Baixa")</f>
        <v>3</v>
      </c>
      <c r="E5" s="12" t="n">
        <f aca="false">COUNTIF(Problemas!$B$5:$B$154,$A5)</f>
        <v>8</v>
      </c>
      <c r="F5" s="12" t="n">
        <f aca="false">SUMIF(Problemas!$B$5:$B$154,$A5,Problemas!$G$5:$G$154)</f>
        <v>132</v>
      </c>
    </row>
    <row r="6" customFormat="false" ht="15" hidden="false" customHeight="false" outlineLevel="0" collapsed="false">
      <c r="A6" s="11" t="s">
        <v>129</v>
      </c>
      <c r="B6" s="12" t="n">
        <f aca="false">COUNTIFS(Problemas!$B$5:$B$154,$A6,Problemas!$I$5:$I$154,"Alta")</f>
        <v>2</v>
      </c>
      <c r="C6" s="12" t="n">
        <f aca="false">COUNTIFS(Problemas!$B$5:$B$154,$A6,Problemas!$I$5:$I$154,"Média")</f>
        <v>2</v>
      </c>
      <c r="D6" s="12" t="n">
        <f aca="false">COUNTIFS(Problemas!$B$5:$B$154,$A6,Problemas!$I$5:$I$154,"Baixa")</f>
        <v>3</v>
      </c>
      <c r="E6" s="12" t="n">
        <f aca="false">COUNTIF(Problemas!$B$5:$B$154,$A6)</f>
        <v>7</v>
      </c>
      <c r="F6" s="12" t="n">
        <f aca="false">SUMIF(Problemas!$B$5:$B$154,$A6,Problemas!$G$5:$G$154)</f>
        <v>204</v>
      </c>
    </row>
    <row r="7" customFormat="false" ht="15" hidden="false" customHeight="false" outlineLevel="0" collapsed="false">
      <c r="A7" s="11" t="s">
        <v>15</v>
      </c>
      <c r="B7" s="12" t="n">
        <f aca="false">COUNTIFS(Problemas!$B$5:$B$154,$A7,Problemas!$I$5:$I$154,"Alta")</f>
        <v>4</v>
      </c>
      <c r="C7" s="12" t="n">
        <f aca="false">COUNTIFS(Problemas!$B$5:$B$154,$A7,Problemas!$I$5:$I$154,"Média")</f>
        <v>3</v>
      </c>
      <c r="D7" s="12" t="n">
        <f aca="false">COUNTIFS(Problemas!$B$5:$B$154,$A7,Problemas!$I$5:$I$154,"Baixa")</f>
        <v>13</v>
      </c>
      <c r="E7" s="12" t="n">
        <f aca="false">COUNTIF(Problemas!$B$5:$B$154,$A7)</f>
        <v>20</v>
      </c>
      <c r="F7" s="12" t="n">
        <f aca="false">SUMIF(Problemas!$B$5:$B$154,$A7,Problemas!$G$5:$G$154)</f>
        <v>124</v>
      </c>
    </row>
    <row r="8" customFormat="false" ht="15" hidden="false" customHeight="false" outlineLevel="0" collapsed="false">
      <c r="A8" s="11" t="s">
        <v>241</v>
      </c>
      <c r="B8" s="12" t="n">
        <f aca="false">COUNTIFS(Problemas!$B$5:$B$154,$A8,Problemas!$I$5:$I$154,"Alta")</f>
        <v>0</v>
      </c>
      <c r="C8" s="12" t="n">
        <f aca="false">COUNTIFS(Problemas!$B$5:$B$154,$A8,Problemas!$I$5:$I$154,"Média")</f>
        <v>0</v>
      </c>
      <c r="D8" s="12" t="n">
        <f aca="false">COUNTIFS(Problemas!$B$5:$B$154,$A8,Problemas!$I$5:$I$154,"Baixa")</f>
        <v>0</v>
      </c>
      <c r="E8" s="12" t="n">
        <f aca="false">COUNTIF(Problemas!$B$5:$B$154,$A8)</f>
        <v>0</v>
      </c>
      <c r="F8" s="12" t="n">
        <f aca="false">SUMIF(Problemas!$B$5:$B$154,$A8,Problemas!$G$5:$G$154)</f>
        <v>0</v>
      </c>
    </row>
    <row r="9" customFormat="false" ht="15" hidden="false" customHeight="false" outlineLevel="0" collapsed="false">
      <c r="A9" s="11" t="s">
        <v>211</v>
      </c>
      <c r="B9" s="12" t="n">
        <f aca="false">COUNTIFS(Problemas!$B$5:$B$154,$A9,Problemas!$I$5:$I$154,"Alta")</f>
        <v>0</v>
      </c>
      <c r="C9" s="12" t="n">
        <f aca="false">COUNTIFS(Problemas!$B$5:$B$154,$A9,Problemas!$I$5:$I$154,"Média")</f>
        <v>2</v>
      </c>
      <c r="D9" s="12" t="n">
        <f aca="false">COUNTIFS(Problemas!$B$5:$B$154,$A9,Problemas!$I$5:$I$154,"Baixa")</f>
        <v>2</v>
      </c>
      <c r="E9" s="12" t="n">
        <f aca="false">COUNTIF(Problemas!$B$5:$B$154,$A9)</f>
        <v>4</v>
      </c>
      <c r="F9" s="12" t="n">
        <f aca="false">SUMIF(Problemas!$B$5:$B$154,$A9,Problemas!$G$5:$G$154)</f>
        <v>30</v>
      </c>
    </row>
    <row r="10" customFormat="false" ht="15" hidden="false" customHeight="false" outlineLevel="0" collapsed="false">
      <c r="A10" s="11" t="s">
        <v>231</v>
      </c>
      <c r="B10" s="12" t="n">
        <f aca="false">COUNTIFS(Problemas!$B$5:$B$154,$A10,Problemas!$I$5:$I$154,"Alta")</f>
        <v>0</v>
      </c>
      <c r="C10" s="12" t="n">
        <f aca="false">COUNTIFS(Problemas!$B$5:$B$154,$A10,Problemas!$I$5:$I$154,"Média")</f>
        <v>0</v>
      </c>
      <c r="D10" s="12" t="n">
        <f aca="false">COUNTIFS(Problemas!$B$5:$B$154,$A10,Problemas!$I$5:$I$154,"Baixa")</f>
        <v>1</v>
      </c>
      <c r="E10" s="12" t="n">
        <f aca="false">COUNTIF(Problemas!$B$5:$B$154,$A10)</f>
        <v>1</v>
      </c>
      <c r="F10" s="12" t="n">
        <f aca="false">SUMIF(Problemas!$B$5:$B$154,$A10,Problemas!$G$5:$G$154)</f>
        <v>2</v>
      </c>
    </row>
    <row r="11" customFormat="false" ht="15" hidden="false" customHeight="false" outlineLevel="0" collapsed="false">
      <c r="A11" s="11" t="s">
        <v>242</v>
      </c>
      <c r="B11" s="12" t="n">
        <f aca="false">COUNTIFS(Problemas!$B$5:$B$154,$A11,Problemas!$I$5:$I$154,"Alta")</f>
        <v>0</v>
      </c>
      <c r="C11" s="12" t="n">
        <f aca="false">COUNTIFS(Problemas!$B$5:$B$154,$A11,Problemas!$I$5:$I$154,"Média")</f>
        <v>0</v>
      </c>
      <c r="D11" s="12" t="n">
        <f aca="false">COUNTIFS(Problemas!$B$5:$B$154,$A11,Problemas!$I$5:$I$154,"Baixa")</f>
        <v>0</v>
      </c>
      <c r="E11" s="12" t="n">
        <f aca="false">COUNTIF(Problemas!$B$5:$B$154,$A11)</f>
        <v>0</v>
      </c>
      <c r="F11" s="12" t="n">
        <f aca="false">SUMIF(Problemas!$B$5:$B$154,$A11,Problemas!$G$5:$G$154)</f>
        <v>0</v>
      </c>
    </row>
    <row r="12" customFormat="false" ht="15" hidden="false" customHeight="false" outlineLevel="0" collapsed="false">
      <c r="A12" s="11" t="s">
        <v>243</v>
      </c>
      <c r="B12" s="12" t="n">
        <f aca="false">COUNTIFS(Problemas!$B$5:$B$154,$A12,Problemas!$I$5:$I$154,"Alta")</f>
        <v>0</v>
      </c>
      <c r="C12" s="12" t="n">
        <f aca="false">COUNTIFS(Problemas!$B$5:$B$154,$A12,Problemas!$I$5:$I$154,"Média")</f>
        <v>0</v>
      </c>
      <c r="D12" s="12" t="n">
        <f aca="false">COUNTIFS(Problemas!$B$5:$B$154,$A12,Problemas!$I$5:$I$154,"Baixa")</f>
        <v>0</v>
      </c>
      <c r="E12" s="12" t="n">
        <f aca="false">COUNTIF(Problemas!$B$5:$B$154,$A12)</f>
        <v>0</v>
      </c>
      <c r="F12" s="12" t="n">
        <f aca="false">SUMIF(Problemas!$B$5:$B$154,$A12,Problemas!$G$5:$G$154)</f>
        <v>0</v>
      </c>
    </row>
    <row r="13" customFormat="false" ht="15" hidden="false" customHeight="false" outlineLevel="0" collapsed="false">
      <c r="A13" s="11" t="s">
        <v>244</v>
      </c>
      <c r="B13" s="12" t="n">
        <f aca="false">COUNTIFS(Problemas!$B$5:$B$154,$A13,Problemas!$I$5:$I$154,"Alta")</f>
        <v>0</v>
      </c>
      <c r="C13" s="12" t="n">
        <f aca="false">COUNTIFS(Problemas!$B$5:$B$154,$A13,Problemas!$I$5:$I$154,"Média")</f>
        <v>0</v>
      </c>
      <c r="D13" s="12" t="n">
        <f aca="false">COUNTIFS(Problemas!$B$5:$B$154,$A13,Problemas!$I$5:$I$154,"Baixa")</f>
        <v>0</v>
      </c>
      <c r="E13" s="12" t="n">
        <f aca="false">COUNTIF(Problemas!$B$5:$B$154,$A13)</f>
        <v>0</v>
      </c>
      <c r="F13" s="12" t="n">
        <f aca="false">SUMIF(Problemas!$B$5:$B$154,$A13,Problemas!$G$5:$G$154)</f>
        <v>0</v>
      </c>
    </row>
    <row r="14" customFormat="false" ht="15" hidden="false" customHeight="false" outlineLevel="0" collapsed="false">
      <c r="A14" s="13" t="s">
        <v>239</v>
      </c>
      <c r="B14" s="14" t="n">
        <f aca="false">SUM(B5:B13)</f>
        <v>9</v>
      </c>
      <c r="C14" s="14" t="n">
        <f aca="false">SUM(C5:C13)</f>
        <v>9</v>
      </c>
      <c r="D14" s="14" t="n">
        <f aca="false">SUM(D5:D13)</f>
        <v>22</v>
      </c>
      <c r="E14" s="14" t="n">
        <f aca="false">SUM(E5:E13)</f>
        <v>40</v>
      </c>
      <c r="F14" s="14" t="n">
        <f aca="false">SUM(F5:F13)</f>
        <v>492</v>
      </c>
    </row>
    <row r="17" customFormat="false" ht="26.85" hidden="false" customHeight="false" outlineLevel="0" collapsed="false">
      <c r="A17" s="3" t="s">
        <v>9</v>
      </c>
      <c r="B17" s="3" t="s">
        <v>245</v>
      </c>
      <c r="C17" s="3" t="s">
        <v>246</v>
      </c>
      <c r="D17" s="3" t="s">
        <v>247</v>
      </c>
    </row>
    <row r="18" customFormat="false" ht="15" hidden="false" customHeight="false" outlineLevel="0" collapsed="false">
      <c r="A18" s="11" t="s">
        <v>42</v>
      </c>
      <c r="B18" s="12" t="n">
        <f aca="false">COUNTIF(Problemas!$H$5:$H$154,$A18)</f>
        <v>10</v>
      </c>
      <c r="C18" s="12" t="n">
        <f aca="false">COUNTIFS(Problemas!$H$5:$H$154,$A18,Problemas!$J$5:$J$154,"Sim")</f>
        <v>10</v>
      </c>
      <c r="D18" s="12" t="n">
        <f aca="false">COUNTIFS(Problemas!$H$5:$H$154,$A18,Problemas!$L$5:$L$154,"Tabela de erros (SA)")</f>
        <v>0</v>
      </c>
    </row>
    <row r="19" customFormat="false" ht="15" hidden="false" customHeight="false" outlineLevel="0" collapsed="false">
      <c r="A19" s="11" t="s">
        <v>80</v>
      </c>
      <c r="B19" s="12" t="n">
        <f aca="false">COUNTIF(Problemas!$H$5:$H$154,$A19)</f>
        <v>5</v>
      </c>
      <c r="C19" s="12" t="n">
        <f aca="false">COUNTIFS(Problemas!$H$5:$H$154,$A19,Problemas!$J$5:$J$154,"Sim")</f>
        <v>4</v>
      </c>
      <c r="D19" s="12" t="n">
        <f aca="false">COUNTIFS(Problemas!$H$5:$H$154,$A19,Problemas!$L$5:$L$154,"Tabela de erros (SA)")</f>
        <v>0</v>
      </c>
    </row>
    <row r="20" customFormat="false" ht="15" hidden="false" customHeight="false" outlineLevel="0" collapsed="false">
      <c r="A20" s="11" t="s">
        <v>61</v>
      </c>
      <c r="B20" s="12" t="n">
        <f aca="false">COUNTIF(Problemas!$H$5:$H$154,$A20)</f>
        <v>6</v>
      </c>
      <c r="C20" s="12" t="n">
        <f aca="false">COUNTIFS(Problemas!$H$5:$H$154,$A20,Problemas!$J$5:$J$154,"Sim")</f>
        <v>4</v>
      </c>
      <c r="D20" s="12" t="n">
        <f aca="false">COUNTIFS(Problemas!$H$5:$H$154,$A20,Problemas!$L$5:$L$154,"Tabela de erros (SA)")</f>
        <v>0</v>
      </c>
    </row>
    <row r="21" customFormat="false" ht="15" hidden="false" customHeight="false" outlineLevel="0" collapsed="false">
      <c r="A21" s="11" t="s">
        <v>67</v>
      </c>
      <c r="B21" s="12" t="n">
        <f aca="false">COUNTIF(Problemas!$H$5:$H$154,$A21)</f>
        <v>4</v>
      </c>
      <c r="C21" s="12" t="n">
        <f aca="false">COUNTIFS(Problemas!$H$5:$H$154,$A21,Problemas!$J$5:$J$154,"Sim")</f>
        <v>3</v>
      </c>
      <c r="D21" s="12" t="n">
        <f aca="false">COUNTIFS(Problemas!$H$5:$H$154,$A21,Problemas!$L$5:$L$154,"Tabela de erros (SA)")</f>
        <v>0</v>
      </c>
    </row>
    <row r="22" customFormat="false" ht="15" hidden="false" customHeight="false" outlineLevel="0" collapsed="false">
      <c r="A22" s="11" t="s">
        <v>119</v>
      </c>
      <c r="B22" s="12" t="n">
        <f aca="false">COUNTIF(Problemas!$H$5:$H$154,$A22)</f>
        <v>2</v>
      </c>
      <c r="C22" s="12" t="n">
        <f aca="false">COUNTIFS(Problemas!$H$5:$H$154,$A22,Problemas!$J$5:$J$154,"Sim")</f>
        <v>1</v>
      </c>
      <c r="D22" s="12" t="n">
        <f aca="false">COUNTIFS(Problemas!$H$5:$H$154,$A22,Problemas!$L$5:$L$154,"Tabela de erros (SA)")</f>
        <v>0</v>
      </c>
    </row>
    <row r="23" customFormat="false" ht="15" hidden="false" customHeight="false" outlineLevel="0" collapsed="false">
      <c r="A23" s="11" t="s">
        <v>49</v>
      </c>
      <c r="B23" s="12" t="n">
        <f aca="false">COUNTIF(Problemas!$H$5:$H$154,$A23)</f>
        <v>8</v>
      </c>
      <c r="C23" s="12" t="n">
        <f aca="false">COUNTIFS(Problemas!$H$5:$H$154,$A23,Problemas!$J$5:$J$154,"Sim")</f>
        <v>5</v>
      </c>
      <c r="D23" s="12" t="n">
        <f aca="false">COUNTIFS(Problemas!$H$5:$H$154,$A23,Problemas!$L$5:$L$154,"Tabela de erros (SA)")</f>
        <v>1</v>
      </c>
    </row>
    <row r="24" customFormat="false" ht="15" hidden="false" customHeight="false" outlineLevel="0" collapsed="false">
      <c r="A24" s="11" t="s">
        <v>20</v>
      </c>
      <c r="B24" s="12" t="n">
        <f aca="false">COUNTIF(Problemas!$H$5:$H$154,$A24)</f>
        <v>1</v>
      </c>
      <c r="C24" s="12" t="n">
        <f aca="false">COUNTIFS(Problemas!$H$5:$H$154,$A24,Problemas!$J$5:$J$154,"Sim")</f>
        <v>1</v>
      </c>
      <c r="D24" s="12" t="n">
        <f aca="false">COUNTIFS(Problemas!$H$5:$H$154,$A24,Problemas!$L$5:$L$154,"Tabela de erros (SA)")</f>
        <v>0</v>
      </c>
    </row>
    <row r="25" customFormat="false" ht="15" hidden="false" customHeight="false" outlineLevel="0" collapsed="false">
      <c r="A25" s="11" t="s">
        <v>30</v>
      </c>
      <c r="B25" s="12" t="n">
        <f aca="false">COUNTIF(Problemas!$H$5:$H$154,$A25)</f>
        <v>2</v>
      </c>
      <c r="C25" s="12" t="n">
        <f aca="false">COUNTIFS(Problemas!$H$5:$H$154,$A25,Problemas!$J$5:$J$154,"Sim")</f>
        <v>2</v>
      </c>
      <c r="D25" s="12" t="n">
        <f aca="false">COUNTIFS(Problemas!$H$5:$H$154,$A25,Problemas!$L$5:$L$154,"Tabela de erros (SA)")</f>
        <v>0</v>
      </c>
    </row>
    <row r="26" customFormat="false" ht="15" hidden="false" customHeight="false" outlineLevel="0" collapsed="false">
      <c r="A26" s="11" t="s">
        <v>126</v>
      </c>
      <c r="B26" s="12" t="n">
        <f aca="false">COUNTIF(Problemas!$H$5:$H$154,$A26)</f>
        <v>2</v>
      </c>
      <c r="C26" s="12" t="n">
        <f aca="false">COUNTIFS(Problemas!$H$5:$H$154,$A26,Problemas!$J$5:$J$154,"Sim")</f>
        <v>0</v>
      </c>
      <c r="D26" s="12" t="n">
        <f aca="false">COUNTIFS(Problemas!$H$5:$H$154,$A26,Problemas!$L$5:$L$154,"Tabela de erros (SA)")</f>
        <v>0</v>
      </c>
    </row>
    <row r="27" customFormat="false" ht="15" hidden="false" customHeight="false" outlineLevel="0" collapsed="false">
      <c r="A27" s="13" t="s">
        <v>239</v>
      </c>
      <c r="B27" s="14" t="n">
        <f aca="false">SUM(B18:B26)</f>
        <v>40</v>
      </c>
      <c r="C27" s="14" t="n">
        <f aca="false">SUM(C18:C26)</f>
        <v>30</v>
      </c>
      <c r="D27" s="14" t="n">
        <f aca="false">SUM(D18:D26)</f>
        <v>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0"/>
    <col collapsed="false" customWidth="true" hidden="false" outlineLevel="0" max="3" min="3" style="0" width="34"/>
  </cols>
  <sheetData>
    <row r="1" customFormat="false" ht="30" hidden="false" customHeight="true" outlineLevel="0" collapsed="false">
      <c r="A1" s="1" t="s">
        <v>248</v>
      </c>
      <c r="B1" s="1"/>
      <c r="C1" s="1"/>
    </row>
    <row r="3" customFormat="false" ht="15" hidden="false" customHeight="false" outlineLevel="0" collapsed="false">
      <c r="A3" s="15" t="s">
        <v>4</v>
      </c>
      <c r="B3" s="15" t="s">
        <v>249</v>
      </c>
      <c r="C3" s="15" t="s">
        <v>250</v>
      </c>
    </row>
    <row r="4" customFormat="false" ht="26.85" hidden="false" customHeight="false" outlineLevel="0" collapsed="false">
      <c r="A4" s="16" t="s">
        <v>251</v>
      </c>
      <c r="B4" s="17" t="s">
        <v>252</v>
      </c>
      <c r="C4" s="17" t="s">
        <v>253</v>
      </c>
    </row>
    <row r="5" customFormat="false" ht="15" hidden="false" customHeight="false" outlineLevel="0" collapsed="false">
      <c r="A5" s="16" t="s">
        <v>5</v>
      </c>
      <c r="B5" s="17" t="s">
        <v>254</v>
      </c>
      <c r="C5" s="17" t="s">
        <v>39</v>
      </c>
    </row>
    <row r="6" customFormat="false" ht="15" hidden="false" customHeight="false" outlineLevel="0" collapsed="false">
      <c r="A6" s="16" t="s">
        <v>6</v>
      </c>
      <c r="B6" s="17" t="s">
        <v>255</v>
      </c>
      <c r="C6" s="17" t="s">
        <v>256</v>
      </c>
    </row>
    <row r="7" customFormat="false" ht="15" hidden="false" customHeight="false" outlineLevel="0" collapsed="false">
      <c r="A7" s="16" t="s">
        <v>250</v>
      </c>
      <c r="B7" s="17" t="s">
        <v>257</v>
      </c>
      <c r="C7" s="17" t="s">
        <v>258</v>
      </c>
    </row>
    <row r="8" customFormat="false" ht="15" hidden="false" customHeight="false" outlineLevel="0" collapsed="false">
      <c r="A8" s="16" t="s">
        <v>8</v>
      </c>
      <c r="B8" s="17" t="s">
        <v>259</v>
      </c>
      <c r="C8" s="17" t="s">
        <v>260</v>
      </c>
    </row>
    <row r="9" customFormat="false" ht="26.85" hidden="false" customHeight="false" outlineLevel="0" collapsed="false">
      <c r="A9" s="16" t="s">
        <v>9</v>
      </c>
      <c r="B9" s="17" t="s">
        <v>261</v>
      </c>
      <c r="C9" s="17" t="s">
        <v>42</v>
      </c>
    </row>
    <row r="10" customFormat="false" ht="26.85" hidden="false" customHeight="false" outlineLevel="0" collapsed="false">
      <c r="A10" s="16" t="s">
        <v>10</v>
      </c>
      <c r="B10" s="17" t="s">
        <v>262</v>
      </c>
      <c r="C10" s="17" t="s">
        <v>43</v>
      </c>
    </row>
    <row r="11" customFormat="false" ht="26.85" hidden="false" customHeight="false" outlineLevel="0" collapsed="false">
      <c r="A11" s="16" t="s">
        <v>11</v>
      </c>
      <c r="B11" s="17" t="s">
        <v>263</v>
      </c>
      <c r="C11" s="17" t="s">
        <v>92</v>
      </c>
    </row>
    <row r="12" customFormat="false" ht="26.85" hidden="false" customHeight="false" outlineLevel="0" collapsed="false">
      <c r="A12" s="16" t="s">
        <v>264</v>
      </c>
      <c r="B12" s="17" t="s">
        <v>265</v>
      </c>
      <c r="C12" s="17" t="s">
        <v>266</v>
      </c>
    </row>
    <row r="13" customFormat="false" ht="26.85" hidden="false" customHeight="false" outlineLevel="0" collapsed="false">
      <c r="A13" s="16" t="s">
        <v>13</v>
      </c>
      <c r="B13" s="17" t="s">
        <v>267</v>
      </c>
      <c r="C13" s="17" t="s">
        <v>24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0"/>
    <col collapsed="false" customWidth="true" hidden="false" outlineLevel="0" max="3" min="3" style="0" width="45"/>
  </cols>
  <sheetData>
    <row r="1" customFormat="false" ht="30" hidden="false" customHeight="true" outlineLevel="0" collapsed="false">
      <c r="A1" s="1" t="s">
        <v>268</v>
      </c>
      <c r="B1" s="1"/>
      <c r="C1" s="1"/>
    </row>
    <row r="3" customFormat="false" ht="15" hidden="false" customHeight="false" outlineLevel="0" collapsed="false">
      <c r="A3" s="18" t="s">
        <v>3</v>
      </c>
      <c r="B3" s="18" t="s">
        <v>269</v>
      </c>
      <c r="C3" s="18" t="s">
        <v>270</v>
      </c>
    </row>
    <row r="4" customFormat="false" ht="23.85" hidden="false" customHeight="false" outlineLevel="0" collapsed="false">
      <c r="A4" s="19" t="s">
        <v>15</v>
      </c>
      <c r="B4" s="19" t="s">
        <v>271</v>
      </c>
      <c r="C4" s="19" t="s">
        <v>272</v>
      </c>
    </row>
    <row r="5" customFormat="false" ht="23.85" hidden="false" customHeight="false" outlineLevel="0" collapsed="false">
      <c r="A5" s="19" t="s">
        <v>15</v>
      </c>
      <c r="B5" s="19" t="s">
        <v>273</v>
      </c>
      <c r="C5" s="19" t="s">
        <v>274</v>
      </c>
    </row>
    <row r="6" customFormat="false" ht="35.05" hidden="false" customHeight="false" outlineLevel="0" collapsed="false">
      <c r="A6" s="19" t="s">
        <v>15</v>
      </c>
      <c r="B6" s="19" t="s">
        <v>275</v>
      </c>
      <c r="C6" s="19" t="s">
        <v>276</v>
      </c>
    </row>
    <row r="7" customFormat="false" ht="23.85" hidden="false" customHeight="false" outlineLevel="0" collapsed="false">
      <c r="A7" s="19" t="s">
        <v>15</v>
      </c>
      <c r="B7" s="19" t="s">
        <v>277</v>
      </c>
      <c r="C7" s="19" t="s">
        <v>27</v>
      </c>
    </row>
    <row r="8" customFormat="false" ht="23.85" hidden="false" customHeight="false" outlineLevel="0" collapsed="false">
      <c r="A8" s="19" t="s">
        <v>15</v>
      </c>
      <c r="B8" s="19" t="s">
        <v>278</v>
      </c>
      <c r="C8" s="19" t="s">
        <v>279</v>
      </c>
    </row>
    <row r="9" customFormat="false" ht="23.85" hidden="false" customHeight="false" outlineLevel="0" collapsed="false">
      <c r="A9" s="19" t="s">
        <v>15</v>
      </c>
      <c r="B9" s="19" t="s">
        <v>280</v>
      </c>
      <c r="C9" s="19" t="s">
        <v>141</v>
      </c>
    </row>
    <row r="10" customFormat="false" ht="23.85" hidden="false" customHeight="false" outlineLevel="0" collapsed="false">
      <c r="A10" s="19" t="s">
        <v>15</v>
      </c>
      <c r="B10" s="19" t="s">
        <v>281</v>
      </c>
      <c r="C10" s="19" t="s">
        <v>282</v>
      </c>
    </row>
    <row r="11" customFormat="false" ht="23.85" hidden="false" customHeight="false" outlineLevel="0" collapsed="false">
      <c r="A11" s="19" t="s">
        <v>129</v>
      </c>
      <c r="B11" s="19" t="s">
        <v>283</v>
      </c>
      <c r="C11" s="19" t="s">
        <v>284</v>
      </c>
    </row>
    <row r="12" customFormat="false" ht="23.85" hidden="false" customHeight="false" outlineLevel="0" collapsed="false">
      <c r="A12" s="19" t="s">
        <v>129</v>
      </c>
      <c r="B12" s="19" t="s">
        <v>285</v>
      </c>
      <c r="C12" s="19" t="s">
        <v>286</v>
      </c>
    </row>
    <row r="13" customFormat="false" ht="23.85" hidden="false" customHeight="false" outlineLevel="0" collapsed="false">
      <c r="A13" s="19" t="s">
        <v>129</v>
      </c>
      <c r="B13" s="19" t="s">
        <v>287</v>
      </c>
      <c r="C13" s="19" t="s">
        <v>288</v>
      </c>
    </row>
    <row r="14" customFormat="false" ht="35.05" hidden="false" customHeight="false" outlineLevel="0" collapsed="false">
      <c r="A14" s="19" t="s">
        <v>129</v>
      </c>
      <c r="B14" s="19" t="s">
        <v>289</v>
      </c>
      <c r="C14" s="19" t="s">
        <v>290</v>
      </c>
    </row>
    <row r="15" customFormat="false" ht="35.05" hidden="false" customHeight="false" outlineLevel="0" collapsed="false">
      <c r="A15" s="19" t="s">
        <v>129</v>
      </c>
      <c r="B15" s="19" t="s">
        <v>291</v>
      </c>
      <c r="C15" s="19" t="s">
        <v>292</v>
      </c>
    </row>
    <row r="16" customFormat="false" ht="35.05" hidden="false" customHeight="false" outlineLevel="0" collapsed="false">
      <c r="A16" s="19" t="s">
        <v>129</v>
      </c>
      <c r="B16" s="19" t="s">
        <v>293</v>
      </c>
      <c r="C16" s="19" t="s">
        <v>282</v>
      </c>
    </row>
    <row r="17" customFormat="false" ht="23.85" hidden="false" customHeight="false" outlineLevel="0" collapsed="false">
      <c r="A17" s="19" t="s">
        <v>167</v>
      </c>
      <c r="B17" s="19" t="s">
        <v>294</v>
      </c>
      <c r="C17" s="19" t="s">
        <v>295</v>
      </c>
    </row>
    <row r="18" customFormat="false" ht="35.05" hidden="false" customHeight="false" outlineLevel="0" collapsed="false">
      <c r="A18" s="19" t="s">
        <v>167</v>
      </c>
      <c r="B18" s="19" t="s">
        <v>296</v>
      </c>
      <c r="C18" s="19" t="s">
        <v>141</v>
      </c>
    </row>
    <row r="19" customFormat="false" ht="23.85" hidden="false" customHeight="false" outlineLevel="0" collapsed="false">
      <c r="A19" s="19" t="s">
        <v>167</v>
      </c>
      <c r="B19" s="19" t="s">
        <v>297</v>
      </c>
      <c r="C19" s="19" t="s">
        <v>141</v>
      </c>
    </row>
    <row r="20" customFormat="false" ht="46.25" hidden="false" customHeight="false" outlineLevel="0" collapsed="false">
      <c r="A20" s="19" t="s">
        <v>167</v>
      </c>
      <c r="B20" s="19" t="s">
        <v>298</v>
      </c>
      <c r="C20" s="19" t="s">
        <v>299</v>
      </c>
    </row>
    <row r="21" customFormat="false" ht="35.05" hidden="false" customHeight="false" outlineLevel="0" collapsed="false">
      <c r="A21" s="19" t="s">
        <v>167</v>
      </c>
      <c r="B21" s="19" t="s">
        <v>300</v>
      </c>
      <c r="C21" s="19" t="s">
        <v>141</v>
      </c>
    </row>
    <row r="22" customFormat="false" ht="35.05" hidden="false" customHeight="false" outlineLevel="0" collapsed="false">
      <c r="A22" s="19" t="s">
        <v>167</v>
      </c>
      <c r="B22" s="19" t="s">
        <v>301</v>
      </c>
      <c r="C22" s="19" t="s">
        <v>141</v>
      </c>
    </row>
    <row r="23" customFormat="false" ht="35.05" hidden="false" customHeight="false" outlineLevel="0" collapsed="false">
      <c r="A23" s="19" t="s">
        <v>167</v>
      </c>
      <c r="B23" s="19" t="s">
        <v>302</v>
      </c>
      <c r="C23" s="19" t="s">
        <v>282</v>
      </c>
    </row>
    <row r="24" customFormat="false" ht="23.85" hidden="false" customHeight="false" outlineLevel="0" collapsed="false">
      <c r="A24" s="19" t="s">
        <v>211</v>
      </c>
      <c r="B24" s="19" t="s">
        <v>303</v>
      </c>
      <c r="C24" s="19" t="s">
        <v>304</v>
      </c>
    </row>
    <row r="25" customFormat="false" ht="46.25" hidden="false" customHeight="false" outlineLevel="0" collapsed="false">
      <c r="A25" s="19" t="s">
        <v>211</v>
      </c>
      <c r="B25" s="19" t="s">
        <v>305</v>
      </c>
      <c r="C25" s="19" t="s">
        <v>306</v>
      </c>
    </row>
    <row r="26" customFormat="false" ht="35.05" hidden="false" customHeight="false" outlineLevel="0" collapsed="false">
      <c r="A26" s="19" t="s">
        <v>211</v>
      </c>
      <c r="B26" s="19" t="s">
        <v>307</v>
      </c>
      <c r="C26" s="19" t="s">
        <v>308</v>
      </c>
    </row>
    <row r="27" customFormat="false" ht="35.05" hidden="false" customHeight="false" outlineLevel="0" collapsed="false">
      <c r="A27" s="19" t="s">
        <v>211</v>
      </c>
      <c r="B27" s="19" t="s">
        <v>309</v>
      </c>
      <c r="C27" s="19" t="s">
        <v>141</v>
      </c>
    </row>
    <row r="28" customFormat="false" ht="46.25" hidden="false" customHeight="false" outlineLevel="0" collapsed="false">
      <c r="A28" s="19" t="s">
        <v>231</v>
      </c>
      <c r="B28" s="19" t="s">
        <v>310</v>
      </c>
      <c r="C28" s="19" t="s">
        <v>311</v>
      </c>
    </row>
    <row r="29" customFormat="false" ht="35.05" hidden="false" customHeight="false" outlineLevel="0" collapsed="false">
      <c r="A29" s="19" t="s">
        <v>231</v>
      </c>
      <c r="B29" s="19" t="s">
        <v>312</v>
      </c>
      <c r="C29" s="19" t="s">
        <v>313</v>
      </c>
    </row>
    <row r="30" customFormat="false" ht="15" hidden="false" customHeight="false" outlineLevel="0" collapsed="false">
      <c r="A30" s="19" t="s">
        <v>231</v>
      </c>
      <c r="B30" s="19" t="s">
        <v>314</v>
      </c>
      <c r="C30" s="19" t="s">
        <v>306</v>
      </c>
    </row>
    <row r="31" customFormat="false" ht="23.85" hidden="false" customHeight="false" outlineLevel="0" collapsed="false">
      <c r="A31" s="19" t="s">
        <v>231</v>
      </c>
      <c r="B31" s="19" t="s">
        <v>315</v>
      </c>
      <c r="C31" s="19" t="s">
        <v>316</v>
      </c>
    </row>
    <row r="32" customFormat="false" ht="46.25" hidden="false" customHeight="false" outlineLevel="0" collapsed="false">
      <c r="A32" s="19" t="s">
        <v>231</v>
      </c>
      <c r="B32" s="19" t="s">
        <v>317</v>
      </c>
      <c r="C32" s="19" t="s">
        <v>318</v>
      </c>
    </row>
    <row r="33" customFormat="false" ht="35.05" hidden="false" customHeight="false" outlineLevel="0" collapsed="false">
      <c r="A33" s="19" t="s">
        <v>231</v>
      </c>
      <c r="B33" s="19" t="s">
        <v>319</v>
      </c>
      <c r="C33" s="19" t="s">
        <v>320</v>
      </c>
    </row>
    <row r="34" customFormat="false" ht="15" hidden="false" customHeight="false" outlineLevel="0" collapsed="false">
      <c r="A34" s="20"/>
      <c r="B34" s="20"/>
      <c r="C34" s="20"/>
    </row>
    <row r="35" customFormat="false" ht="15" hidden="false" customHeight="false" outlineLevel="0" collapsed="false">
      <c r="A35" s="20"/>
      <c r="B35" s="20"/>
      <c r="C35" s="20"/>
    </row>
    <row r="36" customFormat="false" ht="15" hidden="false" customHeight="false" outlineLevel="0" collapsed="false">
      <c r="A36" s="20"/>
      <c r="B36" s="20"/>
      <c r="C36" s="20"/>
    </row>
    <row r="37" customFormat="false" ht="15" hidden="false" customHeight="false" outlineLevel="0" collapsed="false">
      <c r="A37" s="20"/>
      <c r="B37" s="20"/>
      <c r="C37" s="20"/>
    </row>
    <row r="38" customFormat="false" ht="15" hidden="false" customHeight="false" outlineLevel="0" collapsed="false">
      <c r="A38" s="20"/>
      <c r="B38" s="20"/>
      <c r="C38" s="20"/>
    </row>
    <row r="39" customFormat="false" ht="15" hidden="false" customHeight="false" outlineLevel="0" collapsed="false">
      <c r="A39" s="20"/>
      <c r="B39" s="20"/>
      <c r="C39" s="20"/>
    </row>
    <row r="40" customFormat="false" ht="15" hidden="false" customHeight="false" outlineLevel="0" collapsed="false">
      <c r="A40" s="20"/>
      <c r="B40" s="20"/>
      <c r="C40" s="20"/>
    </row>
    <row r="41" customFormat="false" ht="15" hidden="false" customHeight="false" outlineLevel="0" collapsed="false">
      <c r="A41" s="20"/>
      <c r="B41" s="20"/>
      <c r="C41" s="20"/>
    </row>
    <row r="42" customFormat="false" ht="15" hidden="false" customHeight="false" outlineLevel="0" collapsed="false">
      <c r="A42" s="20"/>
      <c r="B42" s="20"/>
      <c r="C42" s="20"/>
    </row>
    <row r="43" customFormat="false" ht="15" hidden="false" customHeight="false" outlineLevel="0" collapsed="false">
      <c r="A43" s="20"/>
      <c r="B43" s="20"/>
      <c r="C43" s="20"/>
    </row>
    <row r="44" customFormat="false" ht="15" hidden="false" customHeight="false" outlineLevel="0" collapsed="false">
      <c r="A44" s="20"/>
      <c r="B44" s="20"/>
      <c r="C44" s="20"/>
    </row>
    <row r="45" customFormat="false" ht="15" hidden="false" customHeight="false" outlineLevel="0" collapsed="false">
      <c r="A45" s="20"/>
      <c r="B45" s="20"/>
      <c r="C45" s="20"/>
    </row>
    <row r="46" customFormat="false" ht="15" hidden="false" customHeight="false" outlineLevel="0" collapsed="false">
      <c r="A46" s="20"/>
      <c r="B46" s="20"/>
      <c r="C46" s="20"/>
    </row>
    <row r="47" customFormat="false" ht="15" hidden="false" customHeight="false" outlineLevel="0" collapsed="false">
      <c r="A47" s="20"/>
      <c r="B47" s="20"/>
      <c r="C47" s="20"/>
    </row>
    <row r="48" customFormat="false" ht="15" hidden="false" customHeight="false" outlineLevel="0" collapsed="false">
      <c r="A48" s="20"/>
      <c r="B48" s="20"/>
      <c r="C48" s="20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30"/>
  </cols>
  <sheetData>
    <row r="1" customFormat="false" ht="15" hidden="false" customHeight="false" outlineLevel="0" collapsed="false">
      <c r="A1" s="21" t="s">
        <v>3</v>
      </c>
      <c r="B1" s="21" t="s">
        <v>321</v>
      </c>
      <c r="C1" s="21" t="s">
        <v>322</v>
      </c>
      <c r="D1" s="21" t="s">
        <v>10</v>
      </c>
      <c r="E1" s="21" t="s">
        <v>323</v>
      </c>
      <c r="F1" s="21" t="s">
        <v>324</v>
      </c>
    </row>
    <row r="2" customFormat="false" ht="15" hidden="false" customHeight="false" outlineLevel="0" collapsed="false">
      <c r="A2" s="22" t="s">
        <v>167</v>
      </c>
      <c r="B2" s="22" t="s">
        <v>39</v>
      </c>
      <c r="C2" s="22" t="s">
        <v>42</v>
      </c>
      <c r="D2" s="22" t="s">
        <v>21</v>
      </c>
      <c r="E2" s="22" t="s">
        <v>22</v>
      </c>
      <c r="F2" s="22" t="s">
        <v>24</v>
      </c>
    </row>
    <row r="3" customFormat="false" ht="15" hidden="false" customHeight="false" outlineLevel="0" collapsed="false">
      <c r="A3" s="22" t="s">
        <v>129</v>
      </c>
      <c r="B3" s="22" t="s">
        <v>27</v>
      </c>
      <c r="C3" s="22" t="s">
        <v>80</v>
      </c>
      <c r="D3" s="22" t="s">
        <v>43</v>
      </c>
      <c r="E3" s="22" t="s">
        <v>92</v>
      </c>
      <c r="F3" s="22" t="s">
        <v>172</v>
      </c>
    </row>
    <row r="4" customFormat="false" ht="15" hidden="false" customHeight="false" outlineLevel="0" collapsed="false">
      <c r="A4" s="22" t="s">
        <v>15</v>
      </c>
      <c r="B4" s="22" t="s">
        <v>325</v>
      </c>
      <c r="C4" s="22" t="s">
        <v>61</v>
      </c>
      <c r="D4" s="22" t="s">
        <v>55</v>
      </c>
      <c r="F4" s="22" t="s">
        <v>121</v>
      </c>
    </row>
    <row r="5" customFormat="false" ht="15" hidden="false" customHeight="false" outlineLevel="0" collapsed="false">
      <c r="A5" s="22" t="s">
        <v>241</v>
      </c>
      <c r="B5" s="22" t="s">
        <v>89</v>
      </c>
      <c r="C5" s="22" t="s">
        <v>67</v>
      </c>
    </row>
    <row r="6" customFormat="false" ht="15" hidden="false" customHeight="false" outlineLevel="0" collapsed="false">
      <c r="A6" s="22" t="s">
        <v>211</v>
      </c>
      <c r="B6" s="22" t="s">
        <v>200</v>
      </c>
      <c r="C6" s="22" t="s">
        <v>119</v>
      </c>
    </row>
    <row r="7" customFormat="false" ht="15" hidden="false" customHeight="false" outlineLevel="0" collapsed="false">
      <c r="A7" s="22" t="s">
        <v>231</v>
      </c>
      <c r="B7" s="22" t="s">
        <v>326</v>
      </c>
      <c r="C7" s="22" t="s">
        <v>49</v>
      </c>
    </row>
    <row r="8" customFormat="false" ht="15" hidden="false" customHeight="false" outlineLevel="0" collapsed="false">
      <c r="A8" s="22" t="s">
        <v>242</v>
      </c>
      <c r="B8" s="22" t="s">
        <v>141</v>
      </c>
      <c r="C8" s="22" t="s">
        <v>20</v>
      </c>
    </row>
    <row r="9" customFormat="false" ht="15" hidden="false" customHeight="false" outlineLevel="0" collapsed="false">
      <c r="A9" s="22" t="s">
        <v>243</v>
      </c>
      <c r="C9" s="22" t="s">
        <v>30</v>
      </c>
    </row>
    <row r="10" customFormat="false" ht="15" hidden="false" customHeight="false" outlineLevel="0" collapsed="false">
      <c r="A10" s="22" t="s">
        <v>244</v>
      </c>
      <c r="C10" s="22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2026-10-18T17:33:50Z</dcterms:created>
  <dc:creator>openpyxl</dc:creator>
  <dc:description/>
  <dc:language>en-US</dc:language>
  <cp:lastModifiedBy/>
  <dcterms:modified xsi:type="dcterms:W3CDTF">2026-10-18T17:33:50Z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